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Dashboard" state="visible" r:id="rId5"/>
  </sheets>
  <calcPr calcId="171027"/>
</workbook>
</file>

<file path=xl/sharedStrings.xml><?xml version="1.0" encoding="utf-8"?>
<sst xmlns="http://schemas.openxmlformats.org/spreadsheetml/2006/main" count="892" uniqueCount="203">
  <si>
    <t>Shipment ID</t>
  </si>
  <si>
    <t>Order Date</t>
  </si>
  <si>
    <t>Customer Type</t>
  </si>
  <si>
    <t>Destination Country</t>
  </si>
  <si>
    <t>Product Category</t>
  </si>
  <si>
    <t>Carrier</t>
  </si>
  <si>
    <t>Promised Delivery Date</t>
  </si>
  <si>
    <t>Actual Delivery Date</t>
  </si>
  <si>
    <t>Delay Days</t>
  </si>
  <si>
    <t>On Time</t>
  </si>
  <si>
    <t>Delay Reason</t>
  </si>
  <si>
    <t>Order Value EUR</t>
  </si>
  <si>
    <t>Order Month</t>
  </si>
  <si>
    <t>SH0001</t>
  </si>
  <si>
    <t>Retail Chain</t>
  </si>
  <si>
    <t>United Kingdom</t>
  </si>
  <si>
    <t>DVD</t>
  </si>
  <si>
    <t>PostNL</t>
  </si>
  <si>
    <t/>
  </si>
  <si>
    <t>SH0002</t>
  </si>
  <si>
    <t>Online Retailer</t>
  </si>
  <si>
    <t>United States</t>
  </si>
  <si>
    <t>Merchandise</t>
  </si>
  <si>
    <t>SH0003</t>
  </si>
  <si>
    <t>Vinyl</t>
  </si>
  <si>
    <t>DPD</t>
  </si>
  <si>
    <t>Customs hold</t>
  </si>
  <si>
    <t>SH0004</t>
  </si>
  <si>
    <t>Independent Store</t>
  </si>
  <si>
    <t>DHL</t>
  </si>
  <si>
    <t>Stock shortage</t>
  </si>
  <si>
    <t>SH0005</t>
  </si>
  <si>
    <t>CD</t>
  </si>
  <si>
    <t>GLS</t>
  </si>
  <si>
    <t>SH0006</t>
  </si>
  <si>
    <t>Belgium</t>
  </si>
  <si>
    <t>UPS</t>
  </si>
  <si>
    <t>SH0007</t>
  </si>
  <si>
    <t>SH0008</t>
  </si>
  <si>
    <t>Netherlands</t>
  </si>
  <si>
    <t>SH0009</t>
  </si>
  <si>
    <t>France</t>
  </si>
  <si>
    <t>SH0010</t>
  </si>
  <si>
    <t>SH0011</t>
  </si>
  <si>
    <t>SH0012</t>
  </si>
  <si>
    <t>SH0013</t>
  </si>
  <si>
    <t>Documentation error</t>
  </si>
  <si>
    <t>SH0014</t>
  </si>
  <si>
    <t>SH0015</t>
  </si>
  <si>
    <t>SH0016</t>
  </si>
  <si>
    <t>SH0017</t>
  </si>
  <si>
    <t>SH0018</t>
  </si>
  <si>
    <t>SH0019</t>
  </si>
  <si>
    <t>Germany</t>
  </si>
  <si>
    <t>SH0020</t>
  </si>
  <si>
    <t>SH0021</t>
  </si>
  <si>
    <t>Weather</t>
  </si>
  <si>
    <t>SH0022</t>
  </si>
  <si>
    <t>SH0023</t>
  </si>
  <si>
    <t>SH0024</t>
  </si>
  <si>
    <t>SH0025</t>
  </si>
  <si>
    <t>SH0026</t>
  </si>
  <si>
    <t>SH0027</t>
  </si>
  <si>
    <t>SH0028</t>
  </si>
  <si>
    <t>SH0029</t>
  </si>
  <si>
    <t>SH0030</t>
  </si>
  <si>
    <t>Carrier delay</t>
  </si>
  <si>
    <t>SH0031</t>
  </si>
  <si>
    <t>SH0032</t>
  </si>
  <si>
    <t>SH0033</t>
  </si>
  <si>
    <t>SH0034</t>
  </si>
  <si>
    <t>SH0035</t>
  </si>
  <si>
    <t>SH0036</t>
  </si>
  <si>
    <t>SH0037</t>
  </si>
  <si>
    <t>SH0038</t>
  </si>
  <si>
    <t>SH0039</t>
  </si>
  <si>
    <t>SH0040</t>
  </si>
  <si>
    <t>SH0041</t>
  </si>
  <si>
    <t>SH0042</t>
  </si>
  <si>
    <t>SH0043</t>
  </si>
  <si>
    <t>SH0044</t>
  </si>
  <si>
    <t>SH0045</t>
  </si>
  <si>
    <t>SH0046</t>
  </si>
  <si>
    <t>SH0047</t>
  </si>
  <si>
    <t>SH0048</t>
  </si>
  <si>
    <t>SH0049</t>
  </si>
  <si>
    <t>SH0050</t>
  </si>
  <si>
    <t>SH0051</t>
  </si>
  <si>
    <t>SH0052</t>
  </si>
  <si>
    <t>SH0053</t>
  </si>
  <si>
    <t>SH0054</t>
  </si>
  <si>
    <t>SH0055</t>
  </si>
  <si>
    <t>SH0056</t>
  </si>
  <si>
    <t>SH0057</t>
  </si>
  <si>
    <t>SH0058</t>
  </si>
  <si>
    <t>SH0059</t>
  </si>
  <si>
    <t>SH0060</t>
  </si>
  <si>
    <t>SH0061</t>
  </si>
  <si>
    <t>SH0062</t>
  </si>
  <si>
    <t>SH0063</t>
  </si>
  <si>
    <t>SH0064</t>
  </si>
  <si>
    <t>SH0065</t>
  </si>
  <si>
    <t>SH0066</t>
  </si>
  <si>
    <t>SH0067</t>
  </si>
  <si>
    <t>SH0068</t>
  </si>
  <si>
    <t>SH0069</t>
  </si>
  <si>
    <t>SH0070</t>
  </si>
  <si>
    <t>SH0071</t>
  </si>
  <si>
    <t>SH0072</t>
  </si>
  <si>
    <t>SH0073</t>
  </si>
  <si>
    <t>SH0074</t>
  </si>
  <si>
    <t>SH0075</t>
  </si>
  <si>
    <t>SH0076</t>
  </si>
  <si>
    <t>SH0077</t>
  </si>
  <si>
    <t>SH0078</t>
  </si>
  <si>
    <t>SH0079</t>
  </si>
  <si>
    <t>SH0080</t>
  </si>
  <si>
    <t>SH0081</t>
  </si>
  <si>
    <t>SH0082</t>
  </si>
  <si>
    <t>SH0083</t>
  </si>
  <si>
    <t>SH0084</t>
  </si>
  <si>
    <t>SH0085</t>
  </si>
  <si>
    <t>SH0086</t>
  </si>
  <si>
    <t>SH0087</t>
  </si>
  <si>
    <t>SH0088</t>
  </si>
  <si>
    <t>SH0089</t>
  </si>
  <si>
    <t>SH0090</t>
  </si>
  <si>
    <t>SH0091</t>
  </si>
  <si>
    <t>SH0092</t>
  </si>
  <si>
    <t>SH0093</t>
  </si>
  <si>
    <t>SH0094</t>
  </si>
  <si>
    <t>SH0095</t>
  </si>
  <si>
    <t>SH0096</t>
  </si>
  <si>
    <t>SH0097</t>
  </si>
  <si>
    <t>SH0098</t>
  </si>
  <si>
    <t>SH0099</t>
  </si>
  <si>
    <t>SH0100</t>
  </si>
  <si>
    <t>SH0101</t>
  </si>
  <si>
    <t>SH0102</t>
  </si>
  <si>
    <t>SH0103</t>
  </si>
  <si>
    <t>SH0104</t>
  </si>
  <si>
    <t>SH0105</t>
  </si>
  <si>
    <t>SH0106</t>
  </si>
  <si>
    <t>SH0107</t>
  </si>
  <si>
    <t>SH0108</t>
  </si>
  <si>
    <t>SH0109</t>
  </si>
  <si>
    <t>SH0110</t>
  </si>
  <si>
    <t>SH0111</t>
  </si>
  <si>
    <t>SH0112</t>
  </si>
  <si>
    <t>SH0113</t>
  </si>
  <si>
    <t>SH0114</t>
  </si>
  <si>
    <t>SH0115</t>
  </si>
  <si>
    <t>SH0116</t>
  </si>
  <si>
    <t>SH0117</t>
  </si>
  <si>
    <t>SH0118</t>
  </si>
  <si>
    <t>SH0119</t>
  </si>
  <si>
    <t>SH0120</t>
  </si>
  <si>
    <t>SH0121</t>
  </si>
  <si>
    <t>SH0122</t>
  </si>
  <si>
    <t>SH0123</t>
  </si>
  <si>
    <t>SH0124</t>
  </si>
  <si>
    <t>SH0125</t>
  </si>
  <si>
    <t>SH0126</t>
  </si>
  <si>
    <t>SH0127</t>
  </si>
  <si>
    <t>SH0128</t>
  </si>
  <si>
    <t>SH0129</t>
  </si>
  <si>
    <t>SH0130</t>
  </si>
  <si>
    <t>SH0131</t>
  </si>
  <si>
    <t>SH0132</t>
  </si>
  <si>
    <t>SH0133</t>
  </si>
  <si>
    <t>SH0134</t>
  </si>
  <si>
    <t>SH0135</t>
  </si>
  <si>
    <t>SH0136</t>
  </si>
  <si>
    <t>SH0137</t>
  </si>
  <si>
    <t>SH0138</t>
  </si>
  <si>
    <t>SH0139</t>
  </si>
  <si>
    <t>SH0140</t>
  </si>
  <si>
    <t>Bertus Delivery Performance Dashboard (mock data, personal practice project)</t>
  </si>
  <si>
    <t>Modeled on Bertus Distributie B.V. physical media wholesale operations. All figures are synthetic.</t>
  </si>
  <si>
    <t>Total shipments</t>
  </si>
  <si>
    <t>On time delivery rate</t>
  </si>
  <si>
    <t>Average delay (late shipments)</t>
  </si>
  <si>
    <t>Total order value EUR</t>
  </si>
  <si>
    <t>Delay reason breakdown</t>
  </si>
  <si>
    <t>Delay reason</t>
  </si>
  <si>
    <t>Count</t>
  </si>
  <si>
    <t>Share of delayed shipments</t>
  </si>
  <si>
    <t>Carrier performance</t>
  </si>
  <si>
    <t>Shipments</t>
  </si>
  <si>
    <t>On time rate</t>
  </si>
  <si>
    <t>Avg delay (days)</t>
  </si>
  <si>
    <t>Monthly trend</t>
  </si>
  <si>
    <t>Month</t>
  </si>
  <si>
    <t>Apr-26</t>
  </si>
  <si>
    <t>May-26</t>
  </si>
  <si>
    <t>Jun-26</t>
  </si>
  <si>
    <t>Jul-26</t>
  </si>
  <si>
    <t>Aug-26</t>
  </si>
  <si>
    <t>How to finish the visuals (2 minutes)</t>
  </si>
  <si>
    <t>1. Select A9:C15 and insert a bar chart for delay reason breakdown (this is the direct proof point for the shared delay log improvement idea).</t>
  </si>
  <si>
    <t>2. Select A18:D23 and insert a bar chart for carrier performance, sort by on time rate to spot the weakest carrier at a glance.</t>
  </si>
  <si>
    <t>3. Select A27:C32 and insert a line chart for the monthly trend to show whether reliability is improving or slipping over time.</t>
  </si>
  <si>
    <t>4. All numbers above are formulas referencing Raw Data, so if you edit or extend Raw Data (or replace it with a real dataset later), the whole dashboard recalculates itself.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</si>
</sst>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0.0%"/>
    <numFmt numFmtId="166" formatCode="0.0&quot; days&quot;"/>
    <numFmt numFmtId="167" formatCode="0.0"/>
  </numFmts>
  <fonts count="7" x14ac:knownFonts="1">
    <font>
      <color theme="1"/>
      <family val="2"/>
      <scheme val="minor"/>
      <sz val="11"/>
      <name val="Calibri"/>
    </font>
    <font>
      <b/>
    </font>
    <font>
      <b/>
      <color rgb="FF1F3864"/>
      <sz val="14"/>
    </font>
    <font>
      <i/>
      <color rgb="FF666666"/>
      <sz val="10"/>
    </font>
    <font>
      <b/>
      <color rgb="FF44546A"/>
    </font>
    <font>
      <b/>
      <color rgb="FF1F3864"/>
      <sz val="16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wrapText="1"/>
    </xf>
    <xf numFmtId="3" fontId="5" fillId="3" borderId="0" xfId="0" applyNumberFormat="1" applyFont="1" applyFill="1"/>
    <xf numFmtId="165" fontId="5" fillId="3" borderId="0" xfId="0" applyNumberFormat="1" applyFont="1" applyFill="1"/>
    <xf numFmtId="166" fontId="5" fillId="3" borderId="0" xfId="0" applyNumberFormat="1" applyFont="1" applyFill="1"/>
    <xf numFmtId="0" fontId="6" fillId="4" borderId="0" xfId="0" applyFont="1" applyFill="1"/>
    <xf numFmtId="165" fontId="0" fillId="0" borderId="0" xfId="0" applyNumberFormat="1"/>
    <xf numFmtId="167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1"/>
  <sheetFormatPr defaultRowHeight="15" outlineLevelRow="0" outlineLevelCol="0" x14ac:dyDescent="55"/>
  <cols>
    <col min="1" max="1" width="16" customWidth="1"/>
    <col min="2" max="2" width="16" style="1" customWidth="1"/>
    <col min="3" max="6" width="16" customWidth="1"/>
    <col min="7" max="8" width="16" style="1" customWidth="1"/>
    <col min="9" max="13" width="16" customWidth="1"/>
  </cols>
  <sheetData>
    <row r="1" spans="1:13" s="2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s="1">
        <v>46231.91666666667</v>
      </c>
      <c r="C2" t="s">
        <v>14</v>
      </c>
      <c r="D2" t="s">
        <v>15</v>
      </c>
      <c r="E2" t="s">
        <v>16</v>
      </c>
      <c r="F2" t="s">
        <v>17</v>
      </c>
      <c r="G2" s="1">
        <v>46240.91666666667</v>
      </c>
      <c r="H2" s="1">
        <v>46239.91666666667</v>
      </c>
      <c r="I2">
        <f>H2-G2</f>
      </c>
      <c r="J2">
        <f>IF(I2&lt;=0,"Yes","No")</f>
      </c>
      <c r="K2" t="s">
        <v>18</v>
      </c>
      <c r="L2">
        <v>1279</v>
      </c>
      <c r="M2">
        <f>TEXT(B2,"mmm-yy")</f>
      </c>
    </row>
    <row r="3" spans="1:13" x14ac:dyDescent="0.25">
      <c r="A3" t="s">
        <v>19</v>
      </c>
      <c r="B3" s="1">
        <v>46217.91666666667</v>
      </c>
      <c r="C3" t="s">
        <v>20</v>
      </c>
      <c r="D3" t="s">
        <v>21</v>
      </c>
      <c r="E3" t="s">
        <v>22</v>
      </c>
      <c r="F3" t="s">
        <v>17</v>
      </c>
      <c r="G3" s="1">
        <v>46225.91666666667</v>
      </c>
      <c r="H3" s="1">
        <v>46224.91666666667</v>
      </c>
      <c r="I3">
        <f>H3-G3</f>
      </c>
      <c r="J3">
        <f>IF(I3&lt;=0,"Yes","No")</f>
      </c>
      <c r="K3" t="s">
        <v>18</v>
      </c>
      <c r="L3">
        <v>282</v>
      </c>
      <c r="M3">
        <f>TEXT(B3,"mmm-yy")</f>
      </c>
    </row>
    <row r="4" spans="1:13" x14ac:dyDescent="0.25">
      <c r="A4" t="s">
        <v>23</v>
      </c>
      <c r="B4" s="1">
        <v>46200.91666666667</v>
      </c>
      <c r="C4" t="s">
        <v>14</v>
      </c>
      <c r="D4" t="s">
        <v>15</v>
      </c>
      <c r="E4" t="s">
        <v>24</v>
      </c>
      <c r="F4" t="s">
        <v>25</v>
      </c>
      <c r="G4" s="1">
        <v>46209.91666666667</v>
      </c>
      <c r="H4" s="1">
        <v>46213.91666666667</v>
      </c>
      <c r="I4">
        <f>H4-G4</f>
      </c>
      <c r="J4">
        <f>IF(I4&lt;=0,"Yes","No")</f>
      </c>
      <c r="K4" t="s">
        <v>26</v>
      </c>
      <c r="L4">
        <v>1376</v>
      </c>
      <c r="M4">
        <f>TEXT(B4,"mmm-yy")</f>
      </c>
    </row>
    <row r="5" spans="1:13" x14ac:dyDescent="0.25">
      <c r="A5" t="s">
        <v>27</v>
      </c>
      <c r="B5" s="1">
        <v>46170.91666666667</v>
      </c>
      <c r="C5" t="s">
        <v>28</v>
      </c>
      <c r="D5" t="s">
        <v>21</v>
      </c>
      <c r="E5" t="s">
        <v>24</v>
      </c>
      <c r="F5" t="s">
        <v>29</v>
      </c>
      <c r="G5" s="1">
        <v>46178.91666666667</v>
      </c>
      <c r="H5" s="1">
        <v>46187.91666666667</v>
      </c>
      <c r="I5">
        <f>H5-G5</f>
      </c>
      <c r="J5">
        <f>IF(I5&lt;=0,"Yes","No")</f>
      </c>
      <c r="K5" t="s">
        <v>30</v>
      </c>
      <c r="L5">
        <v>1385</v>
      </c>
      <c r="M5">
        <f>TEXT(B5,"mmm-yy")</f>
      </c>
    </row>
    <row r="6" spans="1:13" x14ac:dyDescent="0.25">
      <c r="A6" t="s">
        <v>31</v>
      </c>
      <c r="B6" s="1">
        <v>46150.91666666667</v>
      </c>
      <c r="C6" t="s">
        <v>14</v>
      </c>
      <c r="D6" t="s">
        <v>21</v>
      </c>
      <c r="E6" t="s">
        <v>32</v>
      </c>
      <c r="F6" t="s">
        <v>33</v>
      </c>
      <c r="G6" s="1">
        <v>46153.91666666667</v>
      </c>
      <c r="H6" s="1">
        <v>46153.91666666667</v>
      </c>
      <c r="I6">
        <f>H6-G6</f>
      </c>
      <c r="J6">
        <f>IF(I6&lt;=0,"Yes","No")</f>
      </c>
      <c r="K6" t="s">
        <v>18</v>
      </c>
      <c r="L6">
        <v>172</v>
      </c>
      <c r="M6">
        <f>TEXT(B6,"mmm-yy")</f>
      </c>
    </row>
    <row r="7" spans="1:13" x14ac:dyDescent="0.25">
      <c r="A7" t="s">
        <v>34</v>
      </c>
      <c r="B7" s="1">
        <v>46120.91666666667</v>
      </c>
      <c r="C7" t="s">
        <v>14</v>
      </c>
      <c r="D7" t="s">
        <v>35</v>
      </c>
      <c r="E7" t="s">
        <v>24</v>
      </c>
      <c r="F7" t="s">
        <v>36</v>
      </c>
      <c r="G7" s="1">
        <v>46126.91666666667</v>
      </c>
      <c r="H7" s="1">
        <v>46125.91666666667</v>
      </c>
      <c r="I7">
        <f>H7-G7</f>
      </c>
      <c r="J7">
        <f>IF(I7&lt;=0,"Yes","No")</f>
      </c>
      <c r="K7" t="s">
        <v>18</v>
      </c>
      <c r="L7">
        <v>1117</v>
      </c>
      <c r="M7">
        <f>TEXT(B7,"mmm-yy")</f>
      </c>
    </row>
    <row r="8" spans="1:13" x14ac:dyDescent="0.25">
      <c r="A8" t="s">
        <v>37</v>
      </c>
      <c r="B8" s="1">
        <v>46155.91666666667</v>
      </c>
      <c r="C8" t="s">
        <v>14</v>
      </c>
      <c r="D8" t="s">
        <v>15</v>
      </c>
      <c r="E8" t="s">
        <v>22</v>
      </c>
      <c r="F8" t="s">
        <v>25</v>
      </c>
      <c r="G8" s="1">
        <v>46162.91666666667</v>
      </c>
      <c r="H8" s="1">
        <v>46161.91666666667</v>
      </c>
      <c r="I8">
        <f>H8-G8</f>
      </c>
      <c r="J8">
        <f>IF(I8&lt;=0,"Yes","No")</f>
      </c>
      <c r="K8" t="s">
        <v>18</v>
      </c>
      <c r="L8">
        <v>1148</v>
      </c>
      <c r="M8">
        <f>TEXT(B8,"mmm-yy")</f>
      </c>
    </row>
    <row r="9" spans="1:13" x14ac:dyDescent="0.25">
      <c r="A9" t="s">
        <v>38</v>
      </c>
      <c r="B9" s="1">
        <v>46153.91666666667</v>
      </c>
      <c r="C9" t="s">
        <v>14</v>
      </c>
      <c r="D9" t="s">
        <v>39</v>
      </c>
      <c r="E9" t="s">
        <v>24</v>
      </c>
      <c r="F9" t="s">
        <v>25</v>
      </c>
      <c r="G9" s="1">
        <v>46161.91666666667</v>
      </c>
      <c r="H9" s="1">
        <v>46161.91666666667</v>
      </c>
      <c r="I9">
        <f>H9-G9</f>
      </c>
      <c r="J9">
        <f>IF(I9&lt;=0,"Yes","No")</f>
      </c>
      <c r="K9" t="s">
        <v>18</v>
      </c>
      <c r="L9">
        <v>704</v>
      </c>
      <c r="M9">
        <f>TEXT(B9,"mmm-yy")</f>
      </c>
    </row>
    <row r="10" spans="1:13" x14ac:dyDescent="0.25">
      <c r="A10" t="s">
        <v>40</v>
      </c>
      <c r="B10" s="1">
        <v>46149.91666666667</v>
      </c>
      <c r="C10" t="s">
        <v>14</v>
      </c>
      <c r="D10" t="s">
        <v>41</v>
      </c>
      <c r="E10" t="s">
        <v>24</v>
      </c>
      <c r="F10" t="s">
        <v>17</v>
      </c>
      <c r="G10" s="1">
        <v>46159.91666666667</v>
      </c>
      <c r="H10" s="1">
        <v>46162.91666666667</v>
      </c>
      <c r="I10">
        <f>H10-G10</f>
      </c>
      <c r="J10">
        <f>IF(I10&lt;=0,"Yes","No")</f>
      </c>
      <c r="K10" t="s">
        <v>26</v>
      </c>
      <c r="L10">
        <v>873</v>
      </c>
      <c r="M10">
        <f>TEXT(B10,"mmm-yy")</f>
      </c>
    </row>
    <row r="11" spans="1:13" x14ac:dyDescent="0.25">
      <c r="A11" t="s">
        <v>42</v>
      </c>
      <c r="B11" s="1">
        <v>46214.91666666667</v>
      </c>
      <c r="C11" t="s">
        <v>14</v>
      </c>
      <c r="D11" t="s">
        <v>21</v>
      </c>
      <c r="E11" t="s">
        <v>22</v>
      </c>
      <c r="F11" t="s">
        <v>17</v>
      </c>
      <c r="G11" s="1">
        <v>46219.91666666667</v>
      </c>
      <c r="H11" s="1">
        <v>46218.91666666667</v>
      </c>
      <c r="I11">
        <f>H11-G11</f>
      </c>
      <c r="J11">
        <f>IF(I11&lt;=0,"Yes","No")</f>
      </c>
      <c r="K11" t="s">
        <v>18</v>
      </c>
      <c r="L11">
        <v>302</v>
      </c>
      <c r="M11">
        <f>TEXT(B11,"mmm-yy")</f>
      </c>
    </row>
    <row r="12" spans="1:13" x14ac:dyDescent="0.25">
      <c r="A12" t="s">
        <v>43</v>
      </c>
      <c r="B12" s="1">
        <v>46151.91666666667</v>
      </c>
      <c r="C12" t="s">
        <v>28</v>
      </c>
      <c r="D12" t="s">
        <v>39</v>
      </c>
      <c r="E12" t="s">
        <v>22</v>
      </c>
      <c r="F12" t="s">
        <v>25</v>
      </c>
      <c r="G12" s="1">
        <v>46157.91666666667</v>
      </c>
      <c r="H12" s="1">
        <v>46157.91666666667</v>
      </c>
      <c r="I12">
        <f>H12-G12</f>
      </c>
      <c r="J12">
        <f>IF(I12&lt;=0,"Yes","No")</f>
      </c>
      <c r="K12" t="s">
        <v>18</v>
      </c>
      <c r="L12">
        <v>1012</v>
      </c>
      <c r="M12">
        <f>TEXT(B12,"mmm-yy")</f>
      </c>
    </row>
    <row r="13" spans="1:13" x14ac:dyDescent="0.25">
      <c r="A13" t="s">
        <v>44</v>
      </c>
      <c r="B13" s="1">
        <v>46221.91666666667</v>
      </c>
      <c r="C13" t="s">
        <v>20</v>
      </c>
      <c r="D13" t="s">
        <v>41</v>
      </c>
      <c r="E13" t="s">
        <v>32</v>
      </c>
      <c r="F13" t="s">
        <v>33</v>
      </c>
      <c r="G13" s="1">
        <v>46231.91666666667</v>
      </c>
      <c r="H13" s="1">
        <v>46231.91666666667</v>
      </c>
      <c r="I13">
        <f>H13-G13</f>
      </c>
      <c r="J13">
        <f>IF(I13&lt;=0,"Yes","No")</f>
      </c>
      <c r="K13" t="s">
        <v>18</v>
      </c>
      <c r="L13">
        <v>1685</v>
      </c>
      <c r="M13">
        <f>TEXT(B13,"mmm-yy")</f>
      </c>
    </row>
    <row r="14" spans="1:13" x14ac:dyDescent="0.25">
      <c r="A14" t="s">
        <v>45</v>
      </c>
      <c r="B14" s="1">
        <v>46186.91666666667</v>
      </c>
      <c r="C14" t="s">
        <v>14</v>
      </c>
      <c r="D14" t="s">
        <v>35</v>
      </c>
      <c r="E14" t="s">
        <v>22</v>
      </c>
      <c r="F14" t="s">
        <v>25</v>
      </c>
      <c r="G14" s="1">
        <v>46195.91666666667</v>
      </c>
      <c r="H14" s="1">
        <v>46203.91666666667</v>
      </c>
      <c r="I14">
        <f>H14-G14</f>
      </c>
      <c r="J14">
        <f>IF(I14&lt;=0,"Yes","No")</f>
      </c>
      <c r="K14" t="s">
        <v>46</v>
      </c>
      <c r="L14">
        <v>1400</v>
      </c>
      <c r="M14">
        <f>TEXT(B14,"mmm-yy")</f>
      </c>
    </row>
    <row r="15" spans="1:13" x14ac:dyDescent="0.25">
      <c r="A15" t="s">
        <v>47</v>
      </c>
      <c r="B15" s="1">
        <v>46172.91666666667</v>
      </c>
      <c r="C15" t="s">
        <v>28</v>
      </c>
      <c r="D15" t="s">
        <v>41</v>
      </c>
      <c r="E15" t="s">
        <v>24</v>
      </c>
      <c r="F15" t="s">
        <v>33</v>
      </c>
      <c r="G15" s="1">
        <v>46180.91666666667</v>
      </c>
      <c r="H15" s="1">
        <v>46180.91666666667</v>
      </c>
      <c r="I15">
        <f>H15-G15</f>
      </c>
      <c r="J15">
        <f>IF(I15&lt;=0,"Yes","No")</f>
      </c>
      <c r="K15" t="s">
        <v>18</v>
      </c>
      <c r="L15">
        <v>1314</v>
      </c>
      <c r="M15">
        <f>TEXT(B15,"mmm-yy")</f>
      </c>
    </row>
    <row r="16" spans="1:13" x14ac:dyDescent="0.25">
      <c r="A16" t="s">
        <v>48</v>
      </c>
      <c r="B16" s="1">
        <v>46120.91666666667</v>
      </c>
      <c r="C16" t="s">
        <v>20</v>
      </c>
      <c r="D16" t="s">
        <v>21</v>
      </c>
      <c r="E16" t="s">
        <v>24</v>
      </c>
      <c r="F16" t="s">
        <v>25</v>
      </c>
      <c r="G16" s="1">
        <v>46126.91666666667</v>
      </c>
      <c r="H16" s="1">
        <v>46126.91666666667</v>
      </c>
      <c r="I16">
        <f>H16-G16</f>
      </c>
      <c r="J16">
        <f>IF(I16&lt;=0,"Yes","No")</f>
      </c>
      <c r="K16" t="s">
        <v>18</v>
      </c>
      <c r="L16">
        <v>1190</v>
      </c>
      <c r="M16">
        <f>TEXT(B16,"mmm-yy")</f>
      </c>
    </row>
    <row r="17" spans="1:13" x14ac:dyDescent="0.25">
      <c r="A17" t="s">
        <v>49</v>
      </c>
      <c r="B17" s="1">
        <v>46234.91666666667</v>
      </c>
      <c r="C17" t="s">
        <v>20</v>
      </c>
      <c r="D17" t="s">
        <v>41</v>
      </c>
      <c r="E17" t="s">
        <v>32</v>
      </c>
      <c r="F17" t="s">
        <v>36</v>
      </c>
      <c r="G17" s="1">
        <v>46241.91666666667</v>
      </c>
      <c r="H17" s="1">
        <v>46244.91666666667</v>
      </c>
      <c r="I17">
        <f>H17-G17</f>
      </c>
      <c r="J17">
        <f>IF(I17&lt;=0,"Yes","No")</f>
      </c>
      <c r="K17" t="s">
        <v>46</v>
      </c>
      <c r="L17">
        <v>454</v>
      </c>
      <c r="M17">
        <f>TEXT(B17,"mmm-yy")</f>
      </c>
    </row>
    <row r="18" spans="1:13" x14ac:dyDescent="0.25">
      <c r="A18" t="s">
        <v>50</v>
      </c>
      <c r="B18" s="1">
        <v>46189.91666666667</v>
      </c>
      <c r="C18" t="s">
        <v>28</v>
      </c>
      <c r="D18" t="s">
        <v>39</v>
      </c>
      <c r="E18" t="s">
        <v>32</v>
      </c>
      <c r="F18" t="s">
        <v>25</v>
      </c>
      <c r="G18" s="1">
        <v>46198.91666666667</v>
      </c>
      <c r="H18" s="1">
        <v>46198.91666666667</v>
      </c>
      <c r="I18">
        <f>H18-G18</f>
      </c>
      <c r="J18">
        <f>IF(I18&lt;=0,"Yes","No")</f>
      </c>
      <c r="K18" t="s">
        <v>18</v>
      </c>
      <c r="L18">
        <v>545</v>
      </c>
      <c r="M18">
        <f>TEXT(B18,"mmm-yy")</f>
      </c>
    </row>
    <row r="19" spans="1:13" x14ac:dyDescent="0.25">
      <c r="A19" t="s">
        <v>51</v>
      </c>
      <c r="B19" s="1">
        <v>46181.91666666667</v>
      </c>
      <c r="C19" t="s">
        <v>20</v>
      </c>
      <c r="D19" t="s">
        <v>21</v>
      </c>
      <c r="E19" t="s">
        <v>22</v>
      </c>
      <c r="F19" t="s">
        <v>36</v>
      </c>
      <c r="G19" s="1">
        <v>46190.91666666667</v>
      </c>
      <c r="H19" s="1">
        <v>46190.91666666667</v>
      </c>
      <c r="I19">
        <f>H19-G19</f>
      </c>
      <c r="J19">
        <f>IF(I19&lt;=0,"Yes","No")</f>
      </c>
      <c r="K19" t="s">
        <v>18</v>
      </c>
      <c r="L19">
        <v>601</v>
      </c>
      <c r="M19">
        <f>TEXT(B19,"mmm-yy")</f>
      </c>
    </row>
    <row r="20" spans="1:13" x14ac:dyDescent="0.25">
      <c r="A20" t="s">
        <v>52</v>
      </c>
      <c r="B20" s="1">
        <v>46204.91666666667</v>
      </c>
      <c r="C20" t="s">
        <v>14</v>
      </c>
      <c r="D20" t="s">
        <v>53</v>
      </c>
      <c r="E20" t="s">
        <v>24</v>
      </c>
      <c r="F20" t="s">
        <v>17</v>
      </c>
      <c r="G20" s="1">
        <v>46209.91666666667</v>
      </c>
      <c r="H20" s="1">
        <v>46209.91666666667</v>
      </c>
      <c r="I20">
        <f>H20-G20</f>
      </c>
      <c r="J20">
        <f>IF(I20&lt;=0,"Yes","No")</f>
      </c>
      <c r="K20" t="s">
        <v>18</v>
      </c>
      <c r="L20">
        <v>1059</v>
      </c>
      <c r="M20">
        <f>TEXT(B20,"mmm-yy")</f>
      </c>
    </row>
    <row r="21" spans="1:13" x14ac:dyDescent="0.25">
      <c r="A21" t="s">
        <v>54</v>
      </c>
      <c r="B21" s="1">
        <v>46156.91666666667</v>
      </c>
      <c r="C21" t="s">
        <v>20</v>
      </c>
      <c r="D21" t="s">
        <v>53</v>
      </c>
      <c r="E21" t="s">
        <v>32</v>
      </c>
      <c r="F21" t="s">
        <v>33</v>
      </c>
      <c r="G21" s="1">
        <v>46162.91666666667</v>
      </c>
      <c r="H21" s="1">
        <v>46161.91666666667</v>
      </c>
      <c r="I21">
        <f>H21-G21</f>
      </c>
      <c r="J21">
        <f>IF(I21&lt;=0,"Yes","No")</f>
      </c>
      <c r="K21" t="s">
        <v>18</v>
      </c>
      <c r="L21">
        <v>602</v>
      </c>
      <c r="M21">
        <f>TEXT(B21,"mmm-yy")</f>
      </c>
    </row>
    <row r="22" spans="1:13" x14ac:dyDescent="0.25">
      <c r="A22" t="s">
        <v>55</v>
      </c>
      <c r="B22" s="1">
        <v>46207.91666666667</v>
      </c>
      <c r="C22" t="s">
        <v>28</v>
      </c>
      <c r="D22" t="s">
        <v>15</v>
      </c>
      <c r="E22" t="s">
        <v>22</v>
      </c>
      <c r="F22" t="s">
        <v>33</v>
      </c>
      <c r="G22" s="1">
        <v>46214.91666666667</v>
      </c>
      <c r="H22" s="1">
        <v>46218.91666666667</v>
      </c>
      <c r="I22">
        <f>H22-G22</f>
      </c>
      <c r="J22">
        <f>IF(I22&lt;=0,"Yes","No")</f>
      </c>
      <c r="K22" t="s">
        <v>56</v>
      </c>
      <c r="L22">
        <v>156</v>
      </c>
      <c r="M22">
        <f>TEXT(B22,"mmm-yy")</f>
      </c>
    </row>
    <row r="23" spans="1:13" x14ac:dyDescent="0.25">
      <c r="A23" t="s">
        <v>57</v>
      </c>
      <c r="B23" s="1">
        <v>46243.91666666667</v>
      </c>
      <c r="C23" t="s">
        <v>14</v>
      </c>
      <c r="D23" t="s">
        <v>41</v>
      </c>
      <c r="E23" t="s">
        <v>16</v>
      </c>
      <c r="F23" t="s">
        <v>29</v>
      </c>
      <c r="G23" s="1">
        <v>46249.91666666667</v>
      </c>
      <c r="H23" s="1">
        <v>46248.91666666667</v>
      </c>
      <c r="I23">
        <f>H23-G23</f>
      </c>
      <c r="J23">
        <f>IF(I23&lt;=0,"Yes","No")</f>
      </c>
      <c r="K23" t="s">
        <v>18</v>
      </c>
      <c r="L23">
        <v>1183</v>
      </c>
      <c r="M23">
        <f>TEXT(B23,"mmm-yy")</f>
      </c>
    </row>
    <row r="24" spans="1:13" x14ac:dyDescent="0.25">
      <c r="A24" t="s">
        <v>58</v>
      </c>
      <c r="B24" s="1">
        <v>46224.91666666667</v>
      </c>
      <c r="C24" t="s">
        <v>28</v>
      </c>
      <c r="D24" t="s">
        <v>53</v>
      </c>
      <c r="E24" t="s">
        <v>32</v>
      </c>
      <c r="F24" t="s">
        <v>36</v>
      </c>
      <c r="G24" s="1">
        <v>46229.91666666667</v>
      </c>
      <c r="H24" s="1">
        <v>46228.91666666667</v>
      </c>
      <c r="I24">
        <f>H24-G24</f>
      </c>
      <c r="J24">
        <f>IF(I24&lt;=0,"Yes","No")</f>
      </c>
      <c r="K24" t="s">
        <v>18</v>
      </c>
      <c r="L24">
        <v>1295</v>
      </c>
      <c r="M24">
        <f>TEXT(B24,"mmm-yy")</f>
      </c>
    </row>
    <row r="25" spans="1:13" x14ac:dyDescent="0.25">
      <c r="A25" t="s">
        <v>59</v>
      </c>
      <c r="B25" s="1">
        <v>46169.91666666667</v>
      </c>
      <c r="C25" t="s">
        <v>20</v>
      </c>
      <c r="D25" t="s">
        <v>53</v>
      </c>
      <c r="E25" t="s">
        <v>24</v>
      </c>
      <c r="F25" t="s">
        <v>25</v>
      </c>
      <c r="G25" s="1">
        <v>46173.91666666667</v>
      </c>
      <c r="H25" s="1">
        <v>46179.91666666667</v>
      </c>
      <c r="I25">
        <f>H25-G25</f>
      </c>
      <c r="J25">
        <f>IF(I25&lt;=0,"Yes","No")</f>
      </c>
      <c r="K25" t="s">
        <v>30</v>
      </c>
      <c r="L25">
        <v>1785</v>
      </c>
      <c r="M25">
        <f>TEXT(B25,"mmm-yy")</f>
      </c>
    </row>
    <row r="26" spans="1:13" x14ac:dyDescent="0.25">
      <c r="A26" t="s">
        <v>60</v>
      </c>
      <c r="B26" s="1">
        <v>46165.91666666667</v>
      </c>
      <c r="C26" t="s">
        <v>20</v>
      </c>
      <c r="D26" t="s">
        <v>21</v>
      </c>
      <c r="E26" t="s">
        <v>32</v>
      </c>
      <c r="F26" t="s">
        <v>33</v>
      </c>
      <c r="G26" s="1">
        <v>46170.91666666667</v>
      </c>
      <c r="H26" s="1">
        <v>46178.91666666667</v>
      </c>
      <c r="I26">
        <f>H26-G26</f>
      </c>
      <c r="J26">
        <f>IF(I26&lt;=0,"Yes","No")</f>
      </c>
      <c r="K26" t="s">
        <v>46</v>
      </c>
      <c r="L26">
        <v>84</v>
      </c>
      <c r="M26">
        <f>TEXT(B26,"mmm-yy")</f>
      </c>
    </row>
    <row r="27" spans="1:13" x14ac:dyDescent="0.25">
      <c r="A27" t="s">
        <v>61</v>
      </c>
      <c r="B27" s="1">
        <v>46146.91666666667</v>
      </c>
      <c r="C27" t="s">
        <v>28</v>
      </c>
      <c r="D27" t="s">
        <v>15</v>
      </c>
      <c r="E27" t="s">
        <v>32</v>
      </c>
      <c r="F27" t="s">
        <v>17</v>
      </c>
      <c r="G27" s="1">
        <v>46152.91666666667</v>
      </c>
      <c r="H27" s="1">
        <v>46152.91666666667</v>
      </c>
      <c r="I27">
        <f>H27-G27</f>
      </c>
      <c r="J27">
        <f>IF(I27&lt;=0,"Yes","No")</f>
      </c>
      <c r="K27" t="s">
        <v>18</v>
      </c>
      <c r="L27">
        <v>712</v>
      </c>
      <c r="M27">
        <f>TEXT(B27,"mmm-yy")</f>
      </c>
    </row>
    <row r="28" spans="1:13" x14ac:dyDescent="0.25">
      <c r="A28" t="s">
        <v>62</v>
      </c>
      <c r="B28" s="1">
        <v>46134.91666666667</v>
      </c>
      <c r="C28" t="s">
        <v>28</v>
      </c>
      <c r="D28" t="s">
        <v>21</v>
      </c>
      <c r="E28" t="s">
        <v>22</v>
      </c>
      <c r="F28" t="s">
        <v>17</v>
      </c>
      <c r="G28" s="1">
        <v>46144.91666666667</v>
      </c>
      <c r="H28" s="1">
        <v>46144.91666666667</v>
      </c>
      <c r="I28">
        <f>H28-G28</f>
      </c>
      <c r="J28">
        <f>IF(I28&lt;=0,"Yes","No")</f>
      </c>
      <c r="K28" t="s">
        <v>18</v>
      </c>
      <c r="L28">
        <v>1304</v>
      </c>
      <c r="M28">
        <f>TEXT(B28,"mmm-yy")</f>
      </c>
    </row>
    <row r="29" spans="1:13" x14ac:dyDescent="0.25">
      <c r="A29" t="s">
        <v>63</v>
      </c>
      <c r="B29" s="1">
        <v>46153.91666666667</v>
      </c>
      <c r="C29" t="s">
        <v>14</v>
      </c>
      <c r="D29" t="s">
        <v>35</v>
      </c>
      <c r="E29" t="s">
        <v>22</v>
      </c>
      <c r="F29" t="s">
        <v>17</v>
      </c>
      <c r="G29" s="1">
        <v>46156.91666666667</v>
      </c>
      <c r="H29" s="1">
        <v>46156.91666666667</v>
      </c>
      <c r="I29">
        <f>H29-G29</f>
      </c>
      <c r="J29">
        <f>IF(I29&lt;=0,"Yes","No")</f>
      </c>
      <c r="K29" t="s">
        <v>18</v>
      </c>
      <c r="L29">
        <v>543</v>
      </c>
      <c r="M29">
        <f>TEXT(B29,"mmm-yy")</f>
      </c>
    </row>
    <row r="30" spans="1:13" x14ac:dyDescent="0.25">
      <c r="A30" t="s">
        <v>64</v>
      </c>
      <c r="B30" s="1">
        <v>46236.91666666667</v>
      </c>
      <c r="C30" t="s">
        <v>20</v>
      </c>
      <c r="D30" t="s">
        <v>39</v>
      </c>
      <c r="E30" t="s">
        <v>32</v>
      </c>
      <c r="F30" t="s">
        <v>29</v>
      </c>
      <c r="G30" s="1">
        <v>46246.91666666667</v>
      </c>
      <c r="H30" s="1">
        <v>46251.91666666667</v>
      </c>
      <c r="I30">
        <f>H30-G30</f>
      </c>
      <c r="J30">
        <f>IF(I30&lt;=0,"Yes","No")</f>
      </c>
      <c r="K30" t="s">
        <v>30</v>
      </c>
      <c r="L30">
        <v>522</v>
      </c>
      <c r="M30">
        <f>TEXT(B30,"mmm-yy")</f>
      </c>
    </row>
    <row r="31" spans="1:13" x14ac:dyDescent="0.25">
      <c r="A31" t="s">
        <v>65</v>
      </c>
      <c r="B31" s="1">
        <v>46202.91666666667</v>
      </c>
      <c r="C31" t="s">
        <v>14</v>
      </c>
      <c r="D31" t="s">
        <v>21</v>
      </c>
      <c r="E31" t="s">
        <v>24</v>
      </c>
      <c r="F31" t="s">
        <v>25</v>
      </c>
      <c r="G31" s="1">
        <v>46207.91666666667</v>
      </c>
      <c r="H31" s="1">
        <v>46208.91666666667</v>
      </c>
      <c r="I31">
        <f>H31-G31</f>
      </c>
      <c r="J31">
        <f>IF(I31&lt;=0,"Yes","No")</f>
      </c>
      <c r="K31" t="s">
        <v>66</v>
      </c>
      <c r="L31">
        <v>1259</v>
      </c>
      <c r="M31">
        <f>TEXT(B31,"mmm-yy")</f>
      </c>
    </row>
    <row r="32" spans="1:13" x14ac:dyDescent="0.25">
      <c r="A32" t="s">
        <v>67</v>
      </c>
      <c r="B32" s="1">
        <v>46220.91666666667</v>
      </c>
      <c r="C32" t="s">
        <v>14</v>
      </c>
      <c r="D32" t="s">
        <v>35</v>
      </c>
      <c r="E32" t="s">
        <v>22</v>
      </c>
      <c r="F32" t="s">
        <v>17</v>
      </c>
      <c r="G32" s="1">
        <v>46229.91666666667</v>
      </c>
      <c r="H32" s="1">
        <v>46228.91666666667</v>
      </c>
      <c r="I32">
        <f>H32-G32</f>
      </c>
      <c r="J32">
        <f>IF(I32&lt;=0,"Yes","No")</f>
      </c>
      <c r="K32" t="s">
        <v>18</v>
      </c>
      <c r="L32">
        <v>380</v>
      </c>
      <c r="M32">
        <f>TEXT(B32,"mmm-yy")</f>
      </c>
    </row>
    <row r="33" spans="1:13" x14ac:dyDescent="0.25">
      <c r="A33" t="s">
        <v>68</v>
      </c>
      <c r="B33" s="1">
        <v>46118.91666666667</v>
      </c>
      <c r="C33" t="s">
        <v>28</v>
      </c>
      <c r="D33" t="s">
        <v>15</v>
      </c>
      <c r="E33" t="s">
        <v>22</v>
      </c>
      <c r="F33" t="s">
        <v>17</v>
      </c>
      <c r="G33" s="1">
        <v>46122.91666666667</v>
      </c>
      <c r="H33" s="1">
        <v>46121.91666666667</v>
      </c>
      <c r="I33">
        <f>H33-G33</f>
      </c>
      <c r="J33">
        <f>IF(I33&lt;=0,"Yes","No")</f>
      </c>
      <c r="K33" t="s">
        <v>18</v>
      </c>
      <c r="L33">
        <v>780</v>
      </c>
      <c r="M33">
        <f>TEXT(B33,"mmm-yy")</f>
      </c>
    </row>
    <row r="34" spans="1:13" x14ac:dyDescent="0.25">
      <c r="A34" t="s">
        <v>69</v>
      </c>
      <c r="B34" s="1">
        <v>46149.91666666667</v>
      </c>
      <c r="C34" t="s">
        <v>20</v>
      </c>
      <c r="D34" t="s">
        <v>35</v>
      </c>
      <c r="E34" t="s">
        <v>32</v>
      </c>
      <c r="F34" t="s">
        <v>36</v>
      </c>
      <c r="G34" s="1">
        <v>46159.91666666667</v>
      </c>
      <c r="H34" s="1">
        <v>46159.91666666667</v>
      </c>
      <c r="I34">
        <f>H34-G34</f>
      </c>
      <c r="J34">
        <f>IF(I34&lt;=0,"Yes","No")</f>
      </c>
      <c r="K34" t="s">
        <v>18</v>
      </c>
      <c r="L34">
        <v>1145</v>
      </c>
      <c r="M34">
        <f>TEXT(B34,"mmm-yy")</f>
      </c>
    </row>
    <row r="35" spans="1:13" x14ac:dyDescent="0.25">
      <c r="A35" t="s">
        <v>70</v>
      </c>
      <c r="B35" s="1">
        <v>46210.91666666667</v>
      </c>
      <c r="C35" t="s">
        <v>14</v>
      </c>
      <c r="D35" t="s">
        <v>41</v>
      </c>
      <c r="E35" t="s">
        <v>32</v>
      </c>
      <c r="F35" t="s">
        <v>33</v>
      </c>
      <c r="G35" s="1">
        <v>46213.91666666667</v>
      </c>
      <c r="H35" s="1">
        <v>46212.91666666667</v>
      </c>
      <c r="I35">
        <f>H35-G35</f>
      </c>
      <c r="J35">
        <f>IF(I35&lt;=0,"Yes","No")</f>
      </c>
      <c r="K35" t="s">
        <v>18</v>
      </c>
      <c r="L35">
        <v>155</v>
      </c>
      <c r="M35">
        <f>TEXT(B35,"mmm-yy")</f>
      </c>
    </row>
    <row r="36" spans="1:13" x14ac:dyDescent="0.25">
      <c r="A36" t="s">
        <v>71</v>
      </c>
      <c r="B36" s="1">
        <v>46201.91666666667</v>
      </c>
      <c r="C36" t="s">
        <v>20</v>
      </c>
      <c r="D36" t="s">
        <v>35</v>
      </c>
      <c r="E36" t="s">
        <v>16</v>
      </c>
      <c r="F36" t="s">
        <v>33</v>
      </c>
      <c r="G36" s="1">
        <v>46204.91666666667</v>
      </c>
      <c r="H36" s="1">
        <v>46203.91666666667</v>
      </c>
      <c r="I36">
        <f>H36-G36</f>
      </c>
      <c r="J36">
        <f>IF(I36&lt;=0,"Yes","No")</f>
      </c>
      <c r="K36" t="s">
        <v>18</v>
      </c>
      <c r="L36">
        <v>1764</v>
      </c>
      <c r="M36">
        <f>TEXT(B36,"mmm-yy")</f>
      </c>
    </row>
    <row r="37" spans="1:13" x14ac:dyDescent="0.25">
      <c r="A37" t="s">
        <v>72</v>
      </c>
      <c r="B37" s="1">
        <v>46156.91666666667</v>
      </c>
      <c r="C37" t="s">
        <v>28</v>
      </c>
      <c r="D37" t="s">
        <v>39</v>
      </c>
      <c r="E37" t="s">
        <v>24</v>
      </c>
      <c r="F37" t="s">
        <v>33</v>
      </c>
      <c r="G37" s="1">
        <v>46166.91666666667</v>
      </c>
      <c r="H37" s="1">
        <v>46169.91666666667</v>
      </c>
      <c r="I37">
        <f>H37-G37</f>
      </c>
      <c r="J37">
        <f>IF(I37&lt;=0,"Yes","No")</f>
      </c>
      <c r="K37" t="s">
        <v>56</v>
      </c>
      <c r="L37">
        <v>1748</v>
      </c>
      <c r="M37">
        <f>TEXT(B37,"mmm-yy")</f>
      </c>
    </row>
    <row r="38" spans="1:13" x14ac:dyDescent="0.25">
      <c r="A38" t="s">
        <v>73</v>
      </c>
      <c r="B38" s="1">
        <v>46246.91666666667</v>
      </c>
      <c r="C38" t="s">
        <v>28</v>
      </c>
      <c r="D38" t="s">
        <v>21</v>
      </c>
      <c r="E38" t="s">
        <v>32</v>
      </c>
      <c r="F38" t="s">
        <v>29</v>
      </c>
      <c r="G38" s="1">
        <v>46255.91666666667</v>
      </c>
      <c r="H38" s="1">
        <v>46254.91666666667</v>
      </c>
      <c r="I38">
        <f>H38-G38</f>
      </c>
      <c r="J38">
        <f>IF(I38&lt;=0,"Yes","No")</f>
      </c>
      <c r="K38" t="s">
        <v>18</v>
      </c>
      <c r="L38">
        <v>1523</v>
      </c>
      <c r="M38">
        <f>TEXT(B38,"mmm-yy")</f>
      </c>
    </row>
    <row r="39" spans="1:13" x14ac:dyDescent="0.25">
      <c r="A39" t="s">
        <v>74</v>
      </c>
      <c r="B39" s="1">
        <v>46191.91666666667</v>
      </c>
      <c r="C39" t="s">
        <v>20</v>
      </c>
      <c r="D39" t="s">
        <v>41</v>
      </c>
      <c r="E39" t="s">
        <v>32</v>
      </c>
      <c r="F39" t="s">
        <v>17</v>
      </c>
      <c r="G39" s="1">
        <v>46196.91666666667</v>
      </c>
      <c r="H39" s="1">
        <v>46196.91666666667</v>
      </c>
      <c r="I39">
        <f>H39-G39</f>
      </c>
      <c r="J39">
        <f>IF(I39&lt;=0,"Yes","No")</f>
      </c>
      <c r="K39" t="s">
        <v>18</v>
      </c>
      <c r="L39">
        <v>383</v>
      </c>
      <c r="M39">
        <f>TEXT(B39,"mmm-yy")</f>
      </c>
    </row>
    <row r="40" spans="1:13" x14ac:dyDescent="0.25">
      <c r="A40" t="s">
        <v>75</v>
      </c>
      <c r="B40" s="1">
        <v>46234.91666666667</v>
      </c>
      <c r="C40" t="s">
        <v>28</v>
      </c>
      <c r="D40" t="s">
        <v>39</v>
      </c>
      <c r="E40" t="s">
        <v>22</v>
      </c>
      <c r="F40" t="s">
        <v>25</v>
      </c>
      <c r="G40" s="1">
        <v>46242.91666666667</v>
      </c>
      <c r="H40" s="1">
        <v>46241.91666666667</v>
      </c>
      <c r="I40">
        <f>H40-G40</f>
      </c>
      <c r="J40">
        <f>IF(I40&lt;=0,"Yes","No")</f>
      </c>
      <c r="K40" t="s">
        <v>18</v>
      </c>
      <c r="L40">
        <v>524</v>
      </c>
      <c r="M40">
        <f>TEXT(B40,"mmm-yy")</f>
      </c>
    </row>
    <row r="41" spans="1:13" x14ac:dyDescent="0.25">
      <c r="A41" t="s">
        <v>76</v>
      </c>
      <c r="B41" s="1">
        <v>46140.91666666667</v>
      </c>
      <c r="C41" t="s">
        <v>28</v>
      </c>
      <c r="D41" t="s">
        <v>21</v>
      </c>
      <c r="E41" t="s">
        <v>16</v>
      </c>
      <c r="F41" t="s">
        <v>25</v>
      </c>
      <c r="G41" s="1">
        <v>46145.91666666667</v>
      </c>
      <c r="H41" s="1">
        <v>46145.91666666667</v>
      </c>
      <c r="I41">
        <f>H41-G41</f>
      </c>
      <c r="J41">
        <f>IF(I41&lt;=0,"Yes","No")</f>
      </c>
      <c r="K41" t="s">
        <v>18</v>
      </c>
      <c r="L41">
        <v>628</v>
      </c>
      <c r="M41">
        <f>TEXT(B41,"mmm-yy")</f>
      </c>
    </row>
    <row r="42" spans="1:13" x14ac:dyDescent="0.25">
      <c r="A42" t="s">
        <v>77</v>
      </c>
      <c r="B42" s="1">
        <v>46211.91666666667</v>
      </c>
      <c r="C42" t="s">
        <v>20</v>
      </c>
      <c r="D42" t="s">
        <v>53</v>
      </c>
      <c r="E42" t="s">
        <v>32</v>
      </c>
      <c r="F42" t="s">
        <v>25</v>
      </c>
      <c r="G42" s="1">
        <v>46218.91666666667</v>
      </c>
      <c r="H42" s="1">
        <v>46217.91666666667</v>
      </c>
      <c r="I42">
        <f>H42-G42</f>
      </c>
      <c r="J42">
        <f>IF(I42&lt;=0,"Yes","No")</f>
      </c>
      <c r="K42" t="s">
        <v>18</v>
      </c>
      <c r="L42">
        <v>1134</v>
      </c>
      <c r="M42">
        <f>TEXT(B42,"mmm-yy")</f>
      </c>
    </row>
    <row r="43" spans="1:13" x14ac:dyDescent="0.25">
      <c r="A43" t="s">
        <v>78</v>
      </c>
      <c r="B43" s="1">
        <v>46212.91666666667</v>
      </c>
      <c r="C43" t="s">
        <v>14</v>
      </c>
      <c r="D43" t="s">
        <v>53</v>
      </c>
      <c r="E43" t="s">
        <v>22</v>
      </c>
      <c r="F43" t="s">
        <v>36</v>
      </c>
      <c r="G43" s="1">
        <v>46218.91666666667</v>
      </c>
      <c r="H43" s="1">
        <v>46218.91666666667</v>
      </c>
      <c r="I43">
        <f>H43-G43</f>
      </c>
      <c r="J43">
        <f>IF(I43&lt;=0,"Yes","No")</f>
      </c>
      <c r="K43" t="s">
        <v>18</v>
      </c>
      <c r="L43">
        <v>726</v>
      </c>
      <c r="M43">
        <f>TEXT(B43,"mmm-yy")</f>
      </c>
    </row>
    <row r="44" spans="1:13" x14ac:dyDescent="0.25">
      <c r="A44" t="s">
        <v>79</v>
      </c>
      <c r="B44" s="1">
        <v>46177.91666666667</v>
      </c>
      <c r="C44" t="s">
        <v>14</v>
      </c>
      <c r="D44" t="s">
        <v>53</v>
      </c>
      <c r="E44" t="s">
        <v>16</v>
      </c>
      <c r="F44" t="s">
        <v>25</v>
      </c>
      <c r="G44" s="1">
        <v>46181.91666666667</v>
      </c>
      <c r="H44" s="1">
        <v>46180.91666666667</v>
      </c>
      <c r="I44">
        <f>H44-G44</f>
      </c>
      <c r="J44">
        <f>IF(I44&lt;=0,"Yes","No")</f>
      </c>
      <c r="K44" t="s">
        <v>18</v>
      </c>
      <c r="L44">
        <v>1599</v>
      </c>
      <c r="M44">
        <f>TEXT(B44,"mmm-yy")</f>
      </c>
    </row>
    <row r="45" spans="1:13" x14ac:dyDescent="0.25">
      <c r="A45" t="s">
        <v>80</v>
      </c>
      <c r="B45" s="1">
        <v>46139.91666666667</v>
      </c>
      <c r="C45" t="s">
        <v>20</v>
      </c>
      <c r="D45" t="s">
        <v>41</v>
      </c>
      <c r="E45" t="s">
        <v>24</v>
      </c>
      <c r="F45" t="s">
        <v>17</v>
      </c>
      <c r="G45" s="1">
        <v>46144.91666666667</v>
      </c>
      <c r="H45" s="1">
        <v>46144.91666666667</v>
      </c>
      <c r="I45">
        <f>H45-G45</f>
      </c>
      <c r="J45">
        <f>IF(I45&lt;=0,"Yes","No")</f>
      </c>
      <c r="K45" t="s">
        <v>18</v>
      </c>
      <c r="L45">
        <v>678</v>
      </c>
      <c r="M45">
        <f>TEXT(B45,"mmm-yy")</f>
      </c>
    </row>
    <row r="46" spans="1:13" x14ac:dyDescent="0.25">
      <c r="A46" t="s">
        <v>81</v>
      </c>
      <c r="B46" s="1">
        <v>46132.91666666667</v>
      </c>
      <c r="C46" t="s">
        <v>20</v>
      </c>
      <c r="D46" t="s">
        <v>53</v>
      </c>
      <c r="E46" t="s">
        <v>24</v>
      </c>
      <c r="F46" t="s">
        <v>25</v>
      </c>
      <c r="G46" s="1">
        <v>46141.91666666667</v>
      </c>
      <c r="H46" s="1">
        <v>46141.91666666667</v>
      </c>
      <c r="I46">
        <f>H46-G46</f>
      </c>
      <c r="J46">
        <f>IF(I46&lt;=0,"Yes","No")</f>
      </c>
      <c r="K46" t="s">
        <v>18</v>
      </c>
      <c r="L46">
        <v>161</v>
      </c>
      <c r="M46">
        <f>TEXT(B46,"mmm-yy")</f>
      </c>
    </row>
    <row r="47" spans="1:13" x14ac:dyDescent="0.25">
      <c r="A47" t="s">
        <v>82</v>
      </c>
      <c r="B47" s="1">
        <v>46189.91666666667</v>
      </c>
      <c r="C47" t="s">
        <v>28</v>
      </c>
      <c r="D47" t="s">
        <v>41</v>
      </c>
      <c r="E47" t="s">
        <v>24</v>
      </c>
      <c r="F47" t="s">
        <v>17</v>
      </c>
      <c r="G47" s="1">
        <v>46193.91666666667</v>
      </c>
      <c r="H47" s="1">
        <v>46193.91666666667</v>
      </c>
      <c r="I47">
        <f>H47-G47</f>
      </c>
      <c r="J47">
        <f>IF(I47&lt;=0,"Yes","No")</f>
      </c>
      <c r="K47" t="s">
        <v>18</v>
      </c>
      <c r="L47">
        <v>484</v>
      </c>
      <c r="M47">
        <f>TEXT(B47,"mmm-yy")</f>
      </c>
    </row>
    <row r="48" spans="1:13" x14ac:dyDescent="0.25">
      <c r="A48" t="s">
        <v>83</v>
      </c>
      <c r="B48" s="1">
        <v>46210.91666666667</v>
      </c>
      <c r="C48" t="s">
        <v>28</v>
      </c>
      <c r="D48" t="s">
        <v>39</v>
      </c>
      <c r="E48" t="s">
        <v>24</v>
      </c>
      <c r="F48" t="s">
        <v>29</v>
      </c>
      <c r="G48" s="1">
        <v>46216.91666666667</v>
      </c>
      <c r="H48" s="1">
        <v>46215.91666666667</v>
      </c>
      <c r="I48">
        <f>H48-G48</f>
      </c>
      <c r="J48">
        <f>IF(I48&lt;=0,"Yes","No")</f>
      </c>
      <c r="K48" t="s">
        <v>18</v>
      </c>
      <c r="L48">
        <v>332</v>
      </c>
      <c r="M48">
        <f>TEXT(B48,"mmm-yy")</f>
      </c>
    </row>
    <row r="49" spans="1:13" x14ac:dyDescent="0.25">
      <c r="A49" t="s">
        <v>84</v>
      </c>
      <c r="B49" s="1">
        <v>46228.91666666667</v>
      </c>
      <c r="C49" t="s">
        <v>14</v>
      </c>
      <c r="D49" t="s">
        <v>15</v>
      </c>
      <c r="E49" t="s">
        <v>22</v>
      </c>
      <c r="F49" t="s">
        <v>29</v>
      </c>
      <c r="G49" s="1">
        <v>46238.91666666667</v>
      </c>
      <c r="H49" s="1">
        <v>46238.91666666667</v>
      </c>
      <c r="I49">
        <f>H49-G49</f>
      </c>
      <c r="J49">
        <f>IF(I49&lt;=0,"Yes","No")</f>
      </c>
      <c r="K49" t="s">
        <v>18</v>
      </c>
      <c r="L49">
        <v>144</v>
      </c>
      <c r="M49">
        <f>TEXT(B49,"mmm-yy")</f>
      </c>
    </row>
    <row r="50" spans="1:13" x14ac:dyDescent="0.25">
      <c r="A50" t="s">
        <v>85</v>
      </c>
      <c r="B50" s="1">
        <v>46142.91666666667</v>
      </c>
      <c r="C50" t="s">
        <v>20</v>
      </c>
      <c r="D50" t="s">
        <v>21</v>
      </c>
      <c r="E50" t="s">
        <v>32</v>
      </c>
      <c r="F50" t="s">
        <v>17</v>
      </c>
      <c r="G50" s="1">
        <v>46151.91666666667</v>
      </c>
      <c r="H50" s="1">
        <v>46150.91666666667</v>
      </c>
      <c r="I50">
        <f>H50-G50</f>
      </c>
      <c r="J50">
        <f>IF(I50&lt;=0,"Yes","No")</f>
      </c>
      <c r="K50" t="s">
        <v>18</v>
      </c>
      <c r="L50">
        <v>358</v>
      </c>
      <c r="M50">
        <f>TEXT(B50,"mmm-yy")</f>
      </c>
    </row>
    <row r="51" spans="1:13" x14ac:dyDescent="0.25">
      <c r="A51" t="s">
        <v>86</v>
      </c>
      <c r="B51" s="1">
        <v>46120.91666666667</v>
      </c>
      <c r="C51" t="s">
        <v>14</v>
      </c>
      <c r="D51" t="s">
        <v>15</v>
      </c>
      <c r="E51" t="s">
        <v>22</v>
      </c>
      <c r="F51" t="s">
        <v>29</v>
      </c>
      <c r="G51" s="1">
        <v>46127.91666666667</v>
      </c>
      <c r="H51" s="1">
        <v>46127.91666666667</v>
      </c>
      <c r="I51">
        <f>H51-G51</f>
      </c>
      <c r="J51">
        <f>IF(I51&lt;=0,"Yes","No")</f>
      </c>
      <c r="K51" t="s">
        <v>18</v>
      </c>
      <c r="L51">
        <v>1413</v>
      </c>
      <c r="M51">
        <f>TEXT(B51,"mmm-yy")</f>
      </c>
    </row>
    <row r="52" spans="1:13" x14ac:dyDescent="0.25">
      <c r="A52" t="s">
        <v>87</v>
      </c>
      <c r="B52" s="1">
        <v>46197.91666666667</v>
      </c>
      <c r="C52" t="s">
        <v>20</v>
      </c>
      <c r="D52" t="s">
        <v>41</v>
      </c>
      <c r="E52" t="s">
        <v>32</v>
      </c>
      <c r="F52" t="s">
        <v>33</v>
      </c>
      <c r="G52" s="1">
        <v>46201.91666666667</v>
      </c>
      <c r="H52" s="1">
        <v>46201.91666666667</v>
      </c>
      <c r="I52">
        <f>H52-G52</f>
      </c>
      <c r="J52">
        <f>IF(I52&lt;=0,"Yes","No")</f>
      </c>
      <c r="K52" t="s">
        <v>18</v>
      </c>
      <c r="L52">
        <v>237</v>
      </c>
      <c r="M52">
        <f>TEXT(B52,"mmm-yy")</f>
      </c>
    </row>
    <row r="53" spans="1:13" x14ac:dyDescent="0.25">
      <c r="A53" t="s">
        <v>88</v>
      </c>
      <c r="B53" s="1">
        <v>46137.91666666667</v>
      </c>
      <c r="C53" t="s">
        <v>14</v>
      </c>
      <c r="D53" t="s">
        <v>41</v>
      </c>
      <c r="E53" t="s">
        <v>16</v>
      </c>
      <c r="F53" t="s">
        <v>17</v>
      </c>
      <c r="G53" s="1">
        <v>46141.91666666667</v>
      </c>
      <c r="H53" s="1">
        <v>46140.91666666667</v>
      </c>
      <c r="I53">
        <f>H53-G53</f>
      </c>
      <c r="J53">
        <f>IF(I53&lt;=0,"Yes","No")</f>
      </c>
      <c r="K53" t="s">
        <v>18</v>
      </c>
      <c r="L53">
        <v>780</v>
      </c>
      <c r="M53">
        <f>TEXT(B53,"mmm-yy")</f>
      </c>
    </row>
    <row r="54" spans="1:13" x14ac:dyDescent="0.25">
      <c r="A54" t="s">
        <v>89</v>
      </c>
      <c r="B54" s="1">
        <v>46242.91666666667</v>
      </c>
      <c r="C54" t="s">
        <v>28</v>
      </c>
      <c r="D54" t="s">
        <v>53</v>
      </c>
      <c r="E54" t="s">
        <v>32</v>
      </c>
      <c r="F54" t="s">
        <v>25</v>
      </c>
      <c r="G54" s="1">
        <v>46249.91666666667</v>
      </c>
      <c r="H54" s="1">
        <v>46249.91666666667</v>
      </c>
      <c r="I54">
        <f>H54-G54</f>
      </c>
      <c r="J54">
        <f>IF(I54&lt;=0,"Yes","No")</f>
      </c>
      <c r="K54" t="s">
        <v>18</v>
      </c>
      <c r="L54">
        <v>1725</v>
      </c>
      <c r="M54">
        <f>TEXT(B54,"mmm-yy")</f>
      </c>
    </row>
    <row r="55" spans="1:13" x14ac:dyDescent="0.25">
      <c r="A55" t="s">
        <v>90</v>
      </c>
      <c r="B55" s="1">
        <v>46142.91666666667</v>
      </c>
      <c r="C55" t="s">
        <v>14</v>
      </c>
      <c r="D55" t="s">
        <v>35</v>
      </c>
      <c r="E55" t="s">
        <v>24</v>
      </c>
      <c r="F55" t="s">
        <v>36</v>
      </c>
      <c r="G55" s="1">
        <v>46150.91666666667</v>
      </c>
      <c r="H55" s="1">
        <v>46150.91666666667</v>
      </c>
      <c r="I55">
        <f>H55-G55</f>
      </c>
      <c r="J55">
        <f>IF(I55&lt;=0,"Yes","No")</f>
      </c>
      <c r="K55" t="s">
        <v>18</v>
      </c>
      <c r="L55">
        <v>1756</v>
      </c>
      <c r="M55">
        <f>TEXT(B55,"mmm-yy")</f>
      </c>
    </row>
    <row r="56" spans="1:13" x14ac:dyDescent="0.25">
      <c r="A56" t="s">
        <v>91</v>
      </c>
      <c r="B56" s="1">
        <v>46140.91666666667</v>
      </c>
      <c r="C56" t="s">
        <v>28</v>
      </c>
      <c r="D56" t="s">
        <v>15</v>
      </c>
      <c r="E56" t="s">
        <v>32</v>
      </c>
      <c r="F56" t="s">
        <v>36</v>
      </c>
      <c r="G56" s="1">
        <v>46149.91666666667</v>
      </c>
      <c r="H56" s="1">
        <v>46148.91666666667</v>
      </c>
      <c r="I56">
        <f>H56-G56</f>
      </c>
      <c r="J56">
        <f>IF(I56&lt;=0,"Yes","No")</f>
      </c>
      <c r="K56" t="s">
        <v>18</v>
      </c>
      <c r="L56">
        <v>1312</v>
      </c>
      <c r="M56">
        <f>TEXT(B56,"mmm-yy")</f>
      </c>
    </row>
    <row r="57" spans="1:13" x14ac:dyDescent="0.25">
      <c r="A57" t="s">
        <v>92</v>
      </c>
      <c r="B57" s="1">
        <v>46136.91666666667</v>
      </c>
      <c r="C57" t="s">
        <v>28</v>
      </c>
      <c r="D57" t="s">
        <v>15</v>
      </c>
      <c r="E57" t="s">
        <v>16</v>
      </c>
      <c r="F57" t="s">
        <v>25</v>
      </c>
      <c r="G57" s="1">
        <v>46139.91666666667</v>
      </c>
      <c r="H57" s="1">
        <v>46147.91666666667</v>
      </c>
      <c r="I57">
        <f>H57-G57</f>
      </c>
      <c r="J57">
        <f>IF(I57&lt;=0,"Yes","No")</f>
      </c>
      <c r="K57" t="s">
        <v>66</v>
      </c>
      <c r="L57">
        <v>701</v>
      </c>
      <c r="M57">
        <f>TEXT(B57,"mmm-yy")</f>
      </c>
    </row>
    <row r="58" spans="1:13" x14ac:dyDescent="0.25">
      <c r="A58" t="s">
        <v>93</v>
      </c>
      <c r="B58" s="1">
        <v>46231.91666666667</v>
      </c>
      <c r="C58" t="s">
        <v>28</v>
      </c>
      <c r="D58" t="s">
        <v>39</v>
      </c>
      <c r="E58" t="s">
        <v>32</v>
      </c>
      <c r="F58" t="s">
        <v>25</v>
      </c>
      <c r="G58" s="1">
        <v>46236.91666666667</v>
      </c>
      <c r="H58" s="1">
        <v>46236.91666666667</v>
      </c>
      <c r="I58">
        <f>H58-G58</f>
      </c>
      <c r="J58">
        <f>IF(I58&lt;=0,"Yes","No")</f>
      </c>
      <c r="K58" t="s">
        <v>18</v>
      </c>
      <c r="L58">
        <v>130</v>
      </c>
      <c r="M58">
        <f>TEXT(B58,"mmm-yy")</f>
      </c>
    </row>
    <row r="59" spans="1:13" x14ac:dyDescent="0.25">
      <c r="A59" t="s">
        <v>94</v>
      </c>
      <c r="B59" s="1">
        <v>46168.91666666667</v>
      </c>
      <c r="C59" t="s">
        <v>20</v>
      </c>
      <c r="D59" t="s">
        <v>53</v>
      </c>
      <c r="E59" t="s">
        <v>32</v>
      </c>
      <c r="F59" t="s">
        <v>36</v>
      </c>
      <c r="G59" s="1">
        <v>46174.91666666667</v>
      </c>
      <c r="H59" s="1">
        <v>46173.91666666667</v>
      </c>
      <c r="I59">
        <f>H59-G59</f>
      </c>
      <c r="J59">
        <f>IF(I59&lt;=0,"Yes","No")</f>
      </c>
      <c r="K59" t="s">
        <v>18</v>
      </c>
      <c r="L59">
        <v>840</v>
      </c>
      <c r="M59">
        <f>TEXT(B59,"mmm-yy")</f>
      </c>
    </row>
    <row r="60" spans="1:13" x14ac:dyDescent="0.25">
      <c r="A60" t="s">
        <v>95</v>
      </c>
      <c r="B60" s="1">
        <v>46237.91666666667</v>
      </c>
      <c r="C60" t="s">
        <v>20</v>
      </c>
      <c r="D60" t="s">
        <v>15</v>
      </c>
      <c r="E60" t="s">
        <v>24</v>
      </c>
      <c r="F60" t="s">
        <v>36</v>
      </c>
      <c r="G60" s="1">
        <v>46247.91666666667</v>
      </c>
      <c r="H60" s="1">
        <v>46250.91666666667</v>
      </c>
      <c r="I60">
        <f>H60-G60</f>
      </c>
      <c r="J60">
        <f>IF(I60&lt;=0,"Yes","No")</f>
      </c>
      <c r="K60" t="s">
        <v>30</v>
      </c>
      <c r="L60">
        <v>1230</v>
      </c>
      <c r="M60">
        <f>TEXT(B60,"mmm-yy")</f>
      </c>
    </row>
    <row r="61" spans="1:13" x14ac:dyDescent="0.25">
      <c r="A61" t="s">
        <v>96</v>
      </c>
      <c r="B61" s="1">
        <v>46223.91666666667</v>
      </c>
      <c r="C61" t="s">
        <v>20</v>
      </c>
      <c r="D61" t="s">
        <v>21</v>
      </c>
      <c r="E61" t="s">
        <v>24</v>
      </c>
      <c r="F61" t="s">
        <v>25</v>
      </c>
      <c r="G61" s="1">
        <v>46231.91666666667</v>
      </c>
      <c r="H61" s="1">
        <v>46231.91666666667</v>
      </c>
      <c r="I61">
        <f>H61-G61</f>
      </c>
      <c r="J61">
        <f>IF(I61&lt;=0,"Yes","No")</f>
      </c>
      <c r="K61" t="s">
        <v>18</v>
      </c>
      <c r="L61">
        <v>1618</v>
      </c>
      <c r="M61">
        <f>TEXT(B61,"mmm-yy")</f>
      </c>
    </row>
    <row r="62" spans="1:13" x14ac:dyDescent="0.25">
      <c r="A62" t="s">
        <v>97</v>
      </c>
      <c r="B62" s="1">
        <v>46174.91666666667</v>
      </c>
      <c r="C62" t="s">
        <v>20</v>
      </c>
      <c r="D62" t="s">
        <v>41</v>
      </c>
      <c r="E62" t="s">
        <v>16</v>
      </c>
      <c r="F62" t="s">
        <v>36</v>
      </c>
      <c r="G62" s="1">
        <v>46178.91666666667</v>
      </c>
      <c r="H62" s="1">
        <v>46186.91666666667</v>
      </c>
      <c r="I62">
        <f>H62-G62</f>
      </c>
      <c r="J62">
        <f>IF(I62&lt;=0,"Yes","No")</f>
      </c>
      <c r="K62" t="s">
        <v>30</v>
      </c>
      <c r="L62">
        <v>183</v>
      </c>
      <c r="M62">
        <f>TEXT(B62,"mmm-yy")</f>
      </c>
    </row>
    <row r="63" spans="1:13" x14ac:dyDescent="0.25">
      <c r="A63" t="s">
        <v>98</v>
      </c>
      <c r="B63" s="1">
        <v>46240.91666666667</v>
      </c>
      <c r="C63" t="s">
        <v>28</v>
      </c>
      <c r="D63" t="s">
        <v>35</v>
      </c>
      <c r="E63" t="s">
        <v>32</v>
      </c>
      <c r="F63" t="s">
        <v>33</v>
      </c>
      <c r="G63" s="1">
        <v>46244.91666666667</v>
      </c>
      <c r="H63" s="1">
        <v>46244.91666666667</v>
      </c>
      <c r="I63">
        <f>H63-G63</f>
      </c>
      <c r="J63">
        <f>IF(I63&lt;=0,"Yes","No")</f>
      </c>
      <c r="K63" t="s">
        <v>18</v>
      </c>
      <c r="L63">
        <v>1665</v>
      </c>
      <c r="M63">
        <f>TEXT(B63,"mmm-yy")</f>
      </c>
    </row>
    <row r="64" spans="1:13" x14ac:dyDescent="0.25">
      <c r="A64" t="s">
        <v>99</v>
      </c>
      <c r="B64" s="1">
        <v>46137.91666666667</v>
      </c>
      <c r="C64" t="s">
        <v>28</v>
      </c>
      <c r="D64" t="s">
        <v>21</v>
      </c>
      <c r="E64" t="s">
        <v>24</v>
      </c>
      <c r="F64" t="s">
        <v>36</v>
      </c>
      <c r="G64" s="1">
        <v>46147.91666666667</v>
      </c>
      <c r="H64" s="1">
        <v>46146.91666666667</v>
      </c>
      <c r="I64">
        <f>H64-G64</f>
      </c>
      <c r="J64">
        <f>IF(I64&lt;=0,"Yes","No")</f>
      </c>
      <c r="K64" t="s">
        <v>18</v>
      </c>
      <c r="L64">
        <v>476</v>
      </c>
      <c r="M64">
        <f>TEXT(B64,"mmm-yy")</f>
      </c>
    </row>
    <row r="65" spans="1:13" x14ac:dyDescent="0.25">
      <c r="A65" t="s">
        <v>100</v>
      </c>
      <c r="B65" s="1">
        <v>46131.91666666667</v>
      </c>
      <c r="C65" t="s">
        <v>20</v>
      </c>
      <c r="D65" t="s">
        <v>41</v>
      </c>
      <c r="E65" t="s">
        <v>24</v>
      </c>
      <c r="F65" t="s">
        <v>25</v>
      </c>
      <c r="G65" s="1">
        <v>46139.91666666667</v>
      </c>
      <c r="H65" s="1">
        <v>46139.91666666667</v>
      </c>
      <c r="I65">
        <f>H65-G65</f>
      </c>
      <c r="J65">
        <f>IF(I65&lt;=0,"Yes","No")</f>
      </c>
      <c r="K65" t="s">
        <v>18</v>
      </c>
      <c r="L65">
        <v>568</v>
      </c>
      <c r="M65">
        <f>TEXT(B65,"mmm-yy")</f>
      </c>
    </row>
    <row r="66" spans="1:13" x14ac:dyDescent="0.25">
      <c r="A66" t="s">
        <v>101</v>
      </c>
      <c r="B66" s="1">
        <v>46123.91666666667</v>
      </c>
      <c r="C66" t="s">
        <v>28</v>
      </c>
      <c r="D66" t="s">
        <v>15</v>
      </c>
      <c r="E66" t="s">
        <v>22</v>
      </c>
      <c r="F66" t="s">
        <v>29</v>
      </c>
      <c r="G66" s="1">
        <v>46130.91666666667</v>
      </c>
      <c r="H66" s="1">
        <v>46135.91666666667</v>
      </c>
      <c r="I66">
        <f>H66-G66</f>
      </c>
      <c r="J66">
        <f>IF(I66&lt;=0,"Yes","No")</f>
      </c>
      <c r="K66" t="s">
        <v>26</v>
      </c>
      <c r="L66">
        <v>488</v>
      </c>
      <c r="M66">
        <f>TEXT(B66,"mmm-yy")</f>
      </c>
    </row>
    <row r="67" spans="1:13" x14ac:dyDescent="0.25">
      <c r="A67" t="s">
        <v>102</v>
      </c>
      <c r="B67" s="1">
        <v>46119.91666666667</v>
      </c>
      <c r="C67" t="s">
        <v>14</v>
      </c>
      <c r="D67" t="s">
        <v>21</v>
      </c>
      <c r="E67" t="s">
        <v>32</v>
      </c>
      <c r="F67" t="s">
        <v>25</v>
      </c>
      <c r="G67" s="1">
        <v>46126.91666666667</v>
      </c>
      <c r="H67" s="1">
        <v>46126.91666666667</v>
      </c>
      <c r="I67">
        <f>H67-G67</f>
      </c>
      <c r="J67">
        <f>IF(I67&lt;=0,"Yes","No")</f>
      </c>
      <c r="K67" t="s">
        <v>18</v>
      </c>
      <c r="L67">
        <v>1625</v>
      </c>
      <c r="M67">
        <f>TEXT(B67,"mmm-yy")</f>
      </c>
    </row>
    <row r="68" spans="1:13" x14ac:dyDescent="0.25">
      <c r="A68" t="s">
        <v>103</v>
      </c>
      <c r="B68" s="1">
        <v>46143.91666666667</v>
      </c>
      <c r="C68" t="s">
        <v>14</v>
      </c>
      <c r="D68" t="s">
        <v>39</v>
      </c>
      <c r="E68" t="s">
        <v>22</v>
      </c>
      <c r="F68" t="s">
        <v>29</v>
      </c>
      <c r="G68" s="1">
        <v>46146.91666666667</v>
      </c>
      <c r="H68" s="1">
        <v>46146.91666666667</v>
      </c>
      <c r="I68">
        <f>H68-G68</f>
      </c>
      <c r="J68">
        <f>IF(I68&lt;=0,"Yes","No")</f>
      </c>
      <c r="K68" t="s">
        <v>18</v>
      </c>
      <c r="L68">
        <v>530</v>
      </c>
      <c r="M68">
        <f>TEXT(B68,"mmm-yy")</f>
      </c>
    </row>
    <row r="69" spans="1:13" x14ac:dyDescent="0.25">
      <c r="A69" t="s">
        <v>104</v>
      </c>
      <c r="B69" s="1">
        <v>46163.91666666667</v>
      </c>
      <c r="C69" t="s">
        <v>14</v>
      </c>
      <c r="D69" t="s">
        <v>41</v>
      </c>
      <c r="E69" t="s">
        <v>22</v>
      </c>
      <c r="F69" t="s">
        <v>33</v>
      </c>
      <c r="G69" s="1">
        <v>46172.91666666667</v>
      </c>
      <c r="H69" s="1">
        <v>46172.91666666667</v>
      </c>
      <c r="I69">
        <f>H69-G69</f>
      </c>
      <c r="J69">
        <f>IF(I69&lt;=0,"Yes","No")</f>
      </c>
      <c r="K69" t="s">
        <v>18</v>
      </c>
      <c r="L69">
        <v>1154</v>
      </c>
      <c r="M69">
        <f>TEXT(B69,"mmm-yy")</f>
      </c>
    </row>
    <row r="70" spans="1:13" x14ac:dyDescent="0.25">
      <c r="A70" t="s">
        <v>105</v>
      </c>
      <c r="B70" s="1">
        <v>46215.91666666667</v>
      </c>
      <c r="C70" t="s">
        <v>14</v>
      </c>
      <c r="D70" t="s">
        <v>15</v>
      </c>
      <c r="E70" t="s">
        <v>24</v>
      </c>
      <c r="F70" t="s">
        <v>29</v>
      </c>
      <c r="G70" s="1">
        <v>46218.91666666667</v>
      </c>
      <c r="H70" s="1">
        <v>46220.91666666667</v>
      </c>
      <c r="I70">
        <f>H70-G70</f>
      </c>
      <c r="J70">
        <f>IF(I70&lt;=0,"Yes","No")</f>
      </c>
      <c r="K70" t="s">
        <v>46</v>
      </c>
      <c r="L70">
        <v>1140</v>
      </c>
      <c r="M70">
        <f>TEXT(B70,"mmm-yy")</f>
      </c>
    </row>
    <row r="71" spans="1:13" x14ac:dyDescent="0.25">
      <c r="A71" t="s">
        <v>106</v>
      </c>
      <c r="B71" s="1">
        <v>46112.91666666667</v>
      </c>
      <c r="C71" t="s">
        <v>28</v>
      </c>
      <c r="D71" t="s">
        <v>35</v>
      </c>
      <c r="E71" t="s">
        <v>22</v>
      </c>
      <c r="F71" t="s">
        <v>29</v>
      </c>
      <c r="G71" s="1">
        <v>46120.91666666667</v>
      </c>
      <c r="H71" s="1">
        <v>46120.91666666667</v>
      </c>
      <c r="I71">
        <f>H71-G71</f>
      </c>
      <c r="J71">
        <f>IF(I71&lt;=0,"Yes","No")</f>
      </c>
      <c r="K71" t="s">
        <v>18</v>
      </c>
      <c r="L71">
        <v>419</v>
      </c>
      <c r="M71">
        <f>TEXT(B71,"mmm-yy")</f>
      </c>
    </row>
    <row r="72" spans="1:13" x14ac:dyDescent="0.25">
      <c r="A72" t="s">
        <v>107</v>
      </c>
      <c r="B72" s="1">
        <v>46236.91666666667</v>
      </c>
      <c r="C72" t="s">
        <v>14</v>
      </c>
      <c r="D72" t="s">
        <v>39</v>
      </c>
      <c r="E72" t="s">
        <v>24</v>
      </c>
      <c r="F72" t="s">
        <v>33</v>
      </c>
      <c r="G72" s="1">
        <v>46241.91666666667</v>
      </c>
      <c r="H72" s="1">
        <v>46249.91666666667</v>
      </c>
      <c r="I72">
        <f>H72-G72</f>
      </c>
      <c r="J72">
        <f>IF(I72&lt;=0,"Yes","No")</f>
      </c>
      <c r="K72" t="s">
        <v>56</v>
      </c>
      <c r="L72">
        <v>173</v>
      </c>
      <c r="M72">
        <f>TEXT(B72,"mmm-yy")</f>
      </c>
    </row>
    <row r="73" spans="1:13" x14ac:dyDescent="0.25">
      <c r="A73" t="s">
        <v>108</v>
      </c>
      <c r="B73" s="1">
        <v>46187.91666666667</v>
      </c>
      <c r="C73" t="s">
        <v>20</v>
      </c>
      <c r="D73" t="s">
        <v>21</v>
      </c>
      <c r="E73" t="s">
        <v>16</v>
      </c>
      <c r="F73" t="s">
        <v>33</v>
      </c>
      <c r="G73" s="1">
        <v>46193.91666666667</v>
      </c>
      <c r="H73" s="1">
        <v>46200.91666666667</v>
      </c>
      <c r="I73">
        <f>H73-G73</f>
      </c>
      <c r="J73">
        <f>IF(I73&lt;=0,"Yes","No")</f>
      </c>
      <c r="K73" t="s">
        <v>56</v>
      </c>
      <c r="L73">
        <v>901</v>
      </c>
      <c r="M73">
        <f>TEXT(B73,"mmm-yy")</f>
      </c>
    </row>
    <row r="74" spans="1:13" x14ac:dyDescent="0.25">
      <c r="A74" t="s">
        <v>109</v>
      </c>
      <c r="B74" s="1">
        <v>46225.91666666667</v>
      </c>
      <c r="C74" t="s">
        <v>20</v>
      </c>
      <c r="D74" t="s">
        <v>21</v>
      </c>
      <c r="E74" t="s">
        <v>24</v>
      </c>
      <c r="F74" t="s">
        <v>29</v>
      </c>
      <c r="G74" s="1">
        <v>46234.91666666667</v>
      </c>
      <c r="H74" s="1">
        <v>46236.91666666667</v>
      </c>
      <c r="I74">
        <f>H74-G74</f>
      </c>
      <c r="J74">
        <f>IF(I74&lt;=0,"Yes","No")</f>
      </c>
      <c r="K74" t="s">
        <v>56</v>
      </c>
      <c r="L74">
        <v>825</v>
      </c>
      <c r="M74">
        <f>TEXT(B74,"mmm-yy")</f>
      </c>
    </row>
    <row r="75" spans="1:13" x14ac:dyDescent="0.25">
      <c r="A75" t="s">
        <v>110</v>
      </c>
      <c r="B75" s="1">
        <v>46240.91666666667</v>
      </c>
      <c r="C75" t="s">
        <v>28</v>
      </c>
      <c r="D75" t="s">
        <v>21</v>
      </c>
      <c r="E75" t="s">
        <v>32</v>
      </c>
      <c r="F75" t="s">
        <v>25</v>
      </c>
      <c r="G75" s="1">
        <v>46243.91666666667</v>
      </c>
      <c r="H75" s="1">
        <v>46242.91666666667</v>
      </c>
      <c r="I75">
        <f>H75-G75</f>
      </c>
      <c r="J75">
        <f>IF(I75&lt;=0,"Yes","No")</f>
      </c>
      <c r="K75" t="s">
        <v>18</v>
      </c>
      <c r="L75">
        <v>970</v>
      </c>
      <c r="M75">
        <f>TEXT(B75,"mmm-yy")</f>
      </c>
    </row>
    <row r="76" spans="1:13" x14ac:dyDescent="0.25">
      <c r="A76" t="s">
        <v>111</v>
      </c>
      <c r="B76" s="1">
        <v>46217.91666666667</v>
      </c>
      <c r="C76" t="s">
        <v>14</v>
      </c>
      <c r="D76" t="s">
        <v>21</v>
      </c>
      <c r="E76" t="s">
        <v>22</v>
      </c>
      <c r="F76" t="s">
        <v>17</v>
      </c>
      <c r="G76" s="1">
        <v>46221.91666666667</v>
      </c>
      <c r="H76" s="1">
        <v>46221.91666666667</v>
      </c>
      <c r="I76">
        <f>H76-G76</f>
      </c>
      <c r="J76">
        <f>IF(I76&lt;=0,"Yes","No")</f>
      </c>
      <c r="K76" t="s">
        <v>18</v>
      </c>
      <c r="L76">
        <v>639</v>
      </c>
      <c r="M76">
        <f>TEXT(B76,"mmm-yy")</f>
      </c>
    </row>
    <row r="77" spans="1:13" x14ac:dyDescent="0.25">
      <c r="A77" t="s">
        <v>112</v>
      </c>
      <c r="B77" s="1">
        <v>46191.91666666667</v>
      </c>
      <c r="C77" t="s">
        <v>20</v>
      </c>
      <c r="D77" t="s">
        <v>39</v>
      </c>
      <c r="E77" t="s">
        <v>24</v>
      </c>
      <c r="F77" t="s">
        <v>25</v>
      </c>
      <c r="G77" s="1">
        <v>46197.91666666667</v>
      </c>
      <c r="H77" s="1">
        <v>46196.91666666667</v>
      </c>
      <c r="I77">
        <f>H77-G77</f>
      </c>
      <c r="J77">
        <f>IF(I77&lt;=0,"Yes","No")</f>
      </c>
      <c r="K77" t="s">
        <v>18</v>
      </c>
      <c r="L77">
        <v>271</v>
      </c>
      <c r="M77">
        <f>TEXT(B77,"mmm-yy")</f>
      </c>
    </row>
    <row r="78" spans="1:13" x14ac:dyDescent="0.25">
      <c r="A78" t="s">
        <v>113</v>
      </c>
      <c r="B78" s="1">
        <v>46197.91666666667</v>
      </c>
      <c r="C78" t="s">
        <v>20</v>
      </c>
      <c r="D78" t="s">
        <v>15</v>
      </c>
      <c r="E78" t="s">
        <v>22</v>
      </c>
      <c r="F78" t="s">
        <v>17</v>
      </c>
      <c r="G78" s="1">
        <v>46201.91666666667</v>
      </c>
      <c r="H78" s="1">
        <v>46202.91666666667</v>
      </c>
      <c r="I78">
        <f>H78-G78</f>
      </c>
      <c r="J78">
        <f>IF(I78&lt;=0,"Yes","No")</f>
      </c>
      <c r="K78" t="s">
        <v>66</v>
      </c>
      <c r="L78">
        <v>304</v>
      </c>
      <c r="M78">
        <f>TEXT(B78,"mmm-yy")</f>
      </c>
    </row>
    <row r="79" spans="1:13" x14ac:dyDescent="0.25">
      <c r="A79" t="s">
        <v>114</v>
      </c>
      <c r="B79" s="1">
        <v>46201.91666666667</v>
      </c>
      <c r="C79" t="s">
        <v>28</v>
      </c>
      <c r="D79" t="s">
        <v>41</v>
      </c>
      <c r="E79" t="s">
        <v>32</v>
      </c>
      <c r="F79" t="s">
        <v>33</v>
      </c>
      <c r="G79" s="1">
        <v>46210.91666666667</v>
      </c>
      <c r="H79" s="1">
        <v>46210.91666666667</v>
      </c>
      <c r="I79">
        <f>H79-G79</f>
      </c>
      <c r="J79">
        <f>IF(I79&lt;=0,"Yes","No")</f>
      </c>
      <c r="K79" t="s">
        <v>18</v>
      </c>
      <c r="L79">
        <v>738</v>
      </c>
      <c r="M79">
        <f>TEXT(B79,"mmm-yy")</f>
      </c>
    </row>
    <row r="80" spans="1:13" x14ac:dyDescent="0.25">
      <c r="A80" t="s">
        <v>115</v>
      </c>
      <c r="B80" s="1">
        <v>46129.91666666667</v>
      </c>
      <c r="C80" t="s">
        <v>14</v>
      </c>
      <c r="D80" t="s">
        <v>41</v>
      </c>
      <c r="E80" t="s">
        <v>32</v>
      </c>
      <c r="F80" t="s">
        <v>36</v>
      </c>
      <c r="G80" s="1">
        <v>46137.91666666667</v>
      </c>
      <c r="H80" s="1">
        <v>46136.91666666667</v>
      </c>
      <c r="I80">
        <f>H80-G80</f>
      </c>
      <c r="J80">
        <f>IF(I80&lt;=0,"Yes","No")</f>
      </c>
      <c r="K80" t="s">
        <v>18</v>
      </c>
      <c r="L80">
        <v>1135</v>
      </c>
      <c r="M80">
        <f>TEXT(B80,"mmm-yy")</f>
      </c>
    </row>
    <row r="81" spans="1:13" x14ac:dyDescent="0.25">
      <c r="A81" t="s">
        <v>116</v>
      </c>
      <c r="B81" s="1">
        <v>46223.91666666667</v>
      </c>
      <c r="C81" t="s">
        <v>28</v>
      </c>
      <c r="D81" t="s">
        <v>21</v>
      </c>
      <c r="E81" t="s">
        <v>24</v>
      </c>
      <c r="F81" t="s">
        <v>17</v>
      </c>
      <c r="G81" s="1">
        <v>46233.91666666667</v>
      </c>
      <c r="H81" s="1">
        <v>46233.91666666667</v>
      </c>
      <c r="I81">
        <f>H81-G81</f>
      </c>
      <c r="J81">
        <f>IF(I81&lt;=0,"Yes","No")</f>
      </c>
      <c r="K81" t="s">
        <v>18</v>
      </c>
      <c r="L81">
        <v>178</v>
      </c>
      <c r="M81">
        <f>TEXT(B81,"mmm-yy")</f>
      </c>
    </row>
    <row r="82" spans="1:13" x14ac:dyDescent="0.25">
      <c r="A82" t="s">
        <v>117</v>
      </c>
      <c r="B82" s="1">
        <v>46246.91666666667</v>
      </c>
      <c r="C82" t="s">
        <v>28</v>
      </c>
      <c r="D82" t="s">
        <v>21</v>
      </c>
      <c r="E82" t="s">
        <v>16</v>
      </c>
      <c r="F82" t="s">
        <v>17</v>
      </c>
      <c r="G82" s="1">
        <v>46256.91666666667</v>
      </c>
      <c r="H82" s="1">
        <v>46257.91666666667</v>
      </c>
      <c r="I82">
        <f>H82-G82</f>
      </c>
      <c r="J82">
        <f>IF(I82&lt;=0,"Yes","No")</f>
      </c>
      <c r="K82" t="s">
        <v>26</v>
      </c>
      <c r="L82">
        <v>1632</v>
      </c>
      <c r="M82">
        <f>TEXT(B82,"mmm-yy")</f>
      </c>
    </row>
    <row r="83" spans="1:13" x14ac:dyDescent="0.25">
      <c r="A83" t="s">
        <v>118</v>
      </c>
      <c r="B83" s="1">
        <v>46246.91666666667</v>
      </c>
      <c r="C83" t="s">
        <v>14</v>
      </c>
      <c r="D83" t="s">
        <v>21</v>
      </c>
      <c r="E83" t="s">
        <v>32</v>
      </c>
      <c r="F83" t="s">
        <v>33</v>
      </c>
      <c r="G83" s="1">
        <v>46256.91666666667</v>
      </c>
      <c r="H83" s="1">
        <v>46256.91666666667</v>
      </c>
      <c r="I83">
        <f>H83-G83</f>
      </c>
      <c r="J83">
        <f>IF(I83&lt;=0,"Yes","No")</f>
      </c>
      <c r="K83" t="s">
        <v>18</v>
      </c>
      <c r="L83">
        <v>1427</v>
      </c>
      <c r="M83">
        <f>TEXT(B83,"mmm-yy")</f>
      </c>
    </row>
    <row r="84" spans="1:13" x14ac:dyDescent="0.25">
      <c r="A84" t="s">
        <v>119</v>
      </c>
      <c r="B84" s="1">
        <v>46143.91666666667</v>
      </c>
      <c r="C84" t="s">
        <v>20</v>
      </c>
      <c r="D84" t="s">
        <v>35</v>
      </c>
      <c r="E84" t="s">
        <v>24</v>
      </c>
      <c r="F84" t="s">
        <v>29</v>
      </c>
      <c r="G84" s="1">
        <v>46148.91666666667</v>
      </c>
      <c r="H84" s="1">
        <v>46147.91666666667</v>
      </c>
      <c r="I84">
        <f>H84-G84</f>
      </c>
      <c r="J84">
        <f>IF(I84&lt;=0,"Yes","No")</f>
      </c>
      <c r="K84" t="s">
        <v>18</v>
      </c>
      <c r="L84">
        <v>1624</v>
      </c>
      <c r="M84">
        <f>TEXT(B84,"mmm-yy")</f>
      </c>
    </row>
    <row r="85" spans="1:13" x14ac:dyDescent="0.25">
      <c r="A85" t="s">
        <v>120</v>
      </c>
      <c r="B85" s="1">
        <v>46241.91666666667</v>
      </c>
      <c r="C85" t="s">
        <v>14</v>
      </c>
      <c r="D85" t="s">
        <v>41</v>
      </c>
      <c r="E85" t="s">
        <v>16</v>
      </c>
      <c r="F85" t="s">
        <v>17</v>
      </c>
      <c r="G85" s="1">
        <v>46247.91666666667</v>
      </c>
      <c r="H85" s="1">
        <v>46247.91666666667</v>
      </c>
      <c r="I85">
        <f>H85-G85</f>
      </c>
      <c r="J85">
        <f>IF(I85&lt;=0,"Yes","No")</f>
      </c>
      <c r="K85" t="s">
        <v>18</v>
      </c>
      <c r="L85">
        <v>908</v>
      </c>
      <c r="M85">
        <f>TEXT(B85,"mmm-yy")</f>
      </c>
    </row>
    <row r="86" spans="1:13" x14ac:dyDescent="0.25">
      <c r="A86" t="s">
        <v>121</v>
      </c>
      <c r="B86" s="1">
        <v>46167.91666666667</v>
      </c>
      <c r="C86" t="s">
        <v>28</v>
      </c>
      <c r="D86" t="s">
        <v>15</v>
      </c>
      <c r="E86" t="s">
        <v>16</v>
      </c>
      <c r="F86" t="s">
        <v>25</v>
      </c>
      <c r="G86" s="1">
        <v>46174.91666666667</v>
      </c>
      <c r="H86" s="1">
        <v>46173.91666666667</v>
      </c>
      <c r="I86">
        <f>H86-G86</f>
      </c>
      <c r="J86">
        <f>IF(I86&lt;=0,"Yes","No")</f>
      </c>
      <c r="K86" t="s">
        <v>18</v>
      </c>
      <c r="L86">
        <v>1471</v>
      </c>
      <c r="M86">
        <f>TEXT(B86,"mmm-yy")</f>
      </c>
    </row>
    <row r="87" spans="1:13" x14ac:dyDescent="0.25">
      <c r="A87" t="s">
        <v>122</v>
      </c>
      <c r="B87" s="1">
        <v>46225.91666666667</v>
      </c>
      <c r="C87" t="s">
        <v>20</v>
      </c>
      <c r="D87" t="s">
        <v>39</v>
      </c>
      <c r="E87" t="s">
        <v>22</v>
      </c>
      <c r="F87" t="s">
        <v>33</v>
      </c>
      <c r="G87" s="1">
        <v>46235.91666666667</v>
      </c>
      <c r="H87" s="1">
        <v>46234.91666666667</v>
      </c>
      <c r="I87">
        <f>H87-G87</f>
      </c>
      <c r="J87">
        <f>IF(I87&lt;=0,"Yes","No")</f>
      </c>
      <c r="K87" t="s">
        <v>18</v>
      </c>
      <c r="L87">
        <v>242</v>
      </c>
      <c r="M87">
        <f>TEXT(B87,"mmm-yy")</f>
      </c>
    </row>
    <row r="88" spans="1:13" x14ac:dyDescent="0.25">
      <c r="A88" t="s">
        <v>123</v>
      </c>
      <c r="B88" s="1">
        <v>46179.91666666667</v>
      </c>
      <c r="C88" t="s">
        <v>14</v>
      </c>
      <c r="D88" t="s">
        <v>21</v>
      </c>
      <c r="E88" t="s">
        <v>22</v>
      </c>
      <c r="F88" t="s">
        <v>33</v>
      </c>
      <c r="G88" s="1">
        <v>46188.91666666667</v>
      </c>
      <c r="H88" s="1">
        <v>46188.91666666667</v>
      </c>
      <c r="I88">
        <f>H88-G88</f>
      </c>
      <c r="J88">
        <f>IF(I88&lt;=0,"Yes","No")</f>
      </c>
      <c r="K88" t="s">
        <v>18</v>
      </c>
      <c r="L88">
        <v>1171</v>
      </c>
      <c r="M88">
        <f>TEXT(B88,"mmm-yy")</f>
      </c>
    </row>
    <row r="89" spans="1:13" x14ac:dyDescent="0.25">
      <c r="A89" t="s">
        <v>124</v>
      </c>
      <c r="B89" s="1">
        <v>46197.91666666667</v>
      </c>
      <c r="C89" t="s">
        <v>20</v>
      </c>
      <c r="D89" t="s">
        <v>41</v>
      </c>
      <c r="E89" t="s">
        <v>22</v>
      </c>
      <c r="F89" t="s">
        <v>36</v>
      </c>
      <c r="G89" s="1">
        <v>46202.91666666667</v>
      </c>
      <c r="H89" s="1">
        <v>46201.91666666667</v>
      </c>
      <c r="I89">
        <f>H89-G89</f>
      </c>
      <c r="J89">
        <f>IF(I89&lt;=0,"Yes","No")</f>
      </c>
      <c r="K89" t="s">
        <v>18</v>
      </c>
      <c r="L89">
        <v>1186</v>
      </c>
      <c r="M89">
        <f>TEXT(B89,"mmm-yy")</f>
      </c>
    </row>
    <row r="90" spans="1:13" x14ac:dyDescent="0.25">
      <c r="A90" t="s">
        <v>125</v>
      </c>
      <c r="B90" s="1">
        <v>46179.91666666667</v>
      </c>
      <c r="C90" t="s">
        <v>28</v>
      </c>
      <c r="D90" t="s">
        <v>53</v>
      </c>
      <c r="E90" t="s">
        <v>16</v>
      </c>
      <c r="F90" t="s">
        <v>29</v>
      </c>
      <c r="G90" s="1">
        <v>46188.91666666667</v>
      </c>
      <c r="H90" s="1">
        <v>46193.91666666667</v>
      </c>
      <c r="I90">
        <f>H90-G90</f>
      </c>
      <c r="J90">
        <f>IF(I90&lt;=0,"Yes","No")</f>
      </c>
      <c r="K90" t="s">
        <v>56</v>
      </c>
      <c r="L90">
        <v>657</v>
      </c>
      <c r="M90">
        <f>TEXT(B90,"mmm-yy")</f>
      </c>
    </row>
    <row r="91" spans="1:13" x14ac:dyDescent="0.25">
      <c r="A91" t="s">
        <v>126</v>
      </c>
      <c r="B91" s="1">
        <v>46192.91666666667</v>
      </c>
      <c r="C91" t="s">
        <v>28</v>
      </c>
      <c r="D91" t="s">
        <v>53</v>
      </c>
      <c r="E91" t="s">
        <v>24</v>
      </c>
      <c r="F91" t="s">
        <v>25</v>
      </c>
      <c r="G91" s="1">
        <v>46196.91666666667</v>
      </c>
      <c r="H91" s="1">
        <v>46205.91666666667</v>
      </c>
      <c r="I91">
        <f>H91-G91</f>
      </c>
      <c r="J91">
        <f>IF(I91&lt;=0,"Yes","No")</f>
      </c>
      <c r="K91" t="s">
        <v>56</v>
      </c>
      <c r="L91">
        <v>1514</v>
      </c>
      <c r="M91">
        <f>TEXT(B91,"mmm-yy")</f>
      </c>
    </row>
    <row r="92" spans="1:13" x14ac:dyDescent="0.25">
      <c r="A92" t="s">
        <v>127</v>
      </c>
      <c r="B92" s="1">
        <v>46120.91666666667</v>
      </c>
      <c r="C92" t="s">
        <v>20</v>
      </c>
      <c r="D92" t="s">
        <v>39</v>
      </c>
      <c r="E92" t="s">
        <v>22</v>
      </c>
      <c r="F92" t="s">
        <v>36</v>
      </c>
      <c r="G92" s="1">
        <v>46129.91666666667</v>
      </c>
      <c r="H92" s="1">
        <v>46132.91666666667</v>
      </c>
      <c r="I92">
        <f>H92-G92</f>
      </c>
      <c r="J92">
        <f>IF(I92&lt;=0,"Yes","No")</f>
      </c>
      <c r="K92" t="s">
        <v>30</v>
      </c>
      <c r="L92">
        <v>1654</v>
      </c>
      <c r="M92">
        <f>TEXT(B92,"mmm-yy")</f>
      </c>
    </row>
    <row r="93" spans="1:13" x14ac:dyDescent="0.25">
      <c r="A93" t="s">
        <v>128</v>
      </c>
      <c r="B93" s="1">
        <v>46200.91666666667</v>
      </c>
      <c r="C93" t="s">
        <v>14</v>
      </c>
      <c r="D93" t="s">
        <v>53</v>
      </c>
      <c r="E93" t="s">
        <v>22</v>
      </c>
      <c r="F93" t="s">
        <v>17</v>
      </c>
      <c r="G93" s="1">
        <v>46210.91666666667</v>
      </c>
      <c r="H93" s="1">
        <v>46219.91666666667</v>
      </c>
      <c r="I93">
        <f>H93-G93</f>
      </c>
      <c r="J93">
        <f>IF(I93&lt;=0,"Yes","No")</f>
      </c>
      <c r="K93" t="s">
        <v>30</v>
      </c>
      <c r="L93">
        <v>79</v>
      </c>
      <c r="M93">
        <f>TEXT(B93,"mmm-yy")</f>
      </c>
    </row>
    <row r="94" spans="1:13" x14ac:dyDescent="0.25">
      <c r="A94" t="s">
        <v>129</v>
      </c>
      <c r="B94" s="1">
        <v>46158.91666666667</v>
      </c>
      <c r="C94" t="s">
        <v>14</v>
      </c>
      <c r="D94" t="s">
        <v>41</v>
      </c>
      <c r="E94" t="s">
        <v>22</v>
      </c>
      <c r="F94" t="s">
        <v>25</v>
      </c>
      <c r="G94" s="1">
        <v>46162.91666666667</v>
      </c>
      <c r="H94" s="1">
        <v>46161.91666666667</v>
      </c>
      <c r="I94">
        <f>H94-G94</f>
      </c>
      <c r="J94">
        <f>IF(I94&lt;=0,"Yes","No")</f>
      </c>
      <c r="K94" t="s">
        <v>18</v>
      </c>
      <c r="L94">
        <v>236</v>
      </c>
      <c r="M94">
        <f>TEXT(B94,"mmm-yy")</f>
      </c>
    </row>
    <row r="95" spans="1:13" x14ac:dyDescent="0.25">
      <c r="A95" t="s">
        <v>130</v>
      </c>
      <c r="B95" s="1">
        <v>46215.91666666667</v>
      </c>
      <c r="C95" t="s">
        <v>20</v>
      </c>
      <c r="D95" t="s">
        <v>39</v>
      </c>
      <c r="E95" t="s">
        <v>16</v>
      </c>
      <c r="F95" t="s">
        <v>36</v>
      </c>
      <c r="G95" s="1">
        <v>46221.91666666667</v>
      </c>
      <c r="H95" s="1">
        <v>46220.91666666667</v>
      </c>
      <c r="I95">
        <f>H95-G95</f>
      </c>
      <c r="J95">
        <f>IF(I95&lt;=0,"Yes","No")</f>
      </c>
      <c r="K95" t="s">
        <v>18</v>
      </c>
      <c r="L95">
        <v>356</v>
      </c>
      <c r="M95">
        <f>TEXT(B95,"mmm-yy")</f>
      </c>
    </row>
    <row r="96" spans="1:13" x14ac:dyDescent="0.25">
      <c r="A96" t="s">
        <v>131</v>
      </c>
      <c r="B96" s="1">
        <v>46167.91666666667</v>
      </c>
      <c r="C96" t="s">
        <v>28</v>
      </c>
      <c r="D96" t="s">
        <v>21</v>
      </c>
      <c r="E96" t="s">
        <v>22</v>
      </c>
      <c r="F96" t="s">
        <v>17</v>
      </c>
      <c r="G96" s="1">
        <v>46171.91666666667</v>
      </c>
      <c r="H96" s="1">
        <v>46171.91666666667</v>
      </c>
      <c r="I96">
        <f>H96-G96</f>
      </c>
      <c r="J96">
        <f>IF(I96&lt;=0,"Yes","No")</f>
      </c>
      <c r="K96" t="s">
        <v>18</v>
      </c>
      <c r="L96">
        <v>879</v>
      </c>
      <c r="M96">
        <f>TEXT(B96,"mmm-yy")</f>
      </c>
    </row>
    <row r="97" spans="1:13" x14ac:dyDescent="0.25">
      <c r="A97" t="s">
        <v>132</v>
      </c>
      <c r="B97" s="1">
        <v>46185.91666666667</v>
      </c>
      <c r="C97" t="s">
        <v>20</v>
      </c>
      <c r="D97" t="s">
        <v>15</v>
      </c>
      <c r="E97" t="s">
        <v>32</v>
      </c>
      <c r="F97" t="s">
        <v>33</v>
      </c>
      <c r="G97" s="1">
        <v>46192.91666666667</v>
      </c>
      <c r="H97" s="1">
        <v>46191.91666666667</v>
      </c>
      <c r="I97">
        <f>H97-G97</f>
      </c>
      <c r="J97">
        <f>IF(I97&lt;=0,"Yes","No")</f>
      </c>
      <c r="K97" t="s">
        <v>18</v>
      </c>
      <c r="L97">
        <v>487</v>
      </c>
      <c r="M97">
        <f>TEXT(B97,"mmm-yy")</f>
      </c>
    </row>
    <row r="98" spans="1:13" x14ac:dyDescent="0.25">
      <c r="A98" t="s">
        <v>133</v>
      </c>
      <c r="B98" s="1">
        <v>46165.91666666667</v>
      </c>
      <c r="C98" t="s">
        <v>14</v>
      </c>
      <c r="D98" t="s">
        <v>35</v>
      </c>
      <c r="E98" t="s">
        <v>22</v>
      </c>
      <c r="F98" t="s">
        <v>33</v>
      </c>
      <c r="G98" s="1">
        <v>46168.91666666667</v>
      </c>
      <c r="H98" s="1">
        <v>46168.91666666667</v>
      </c>
      <c r="I98">
        <f>H98-G98</f>
      </c>
      <c r="J98">
        <f>IF(I98&lt;=0,"Yes","No")</f>
      </c>
      <c r="K98" t="s">
        <v>18</v>
      </c>
      <c r="L98">
        <v>1376</v>
      </c>
      <c r="M98">
        <f>TEXT(B98,"mmm-yy")</f>
      </c>
    </row>
    <row r="99" spans="1:13" x14ac:dyDescent="0.25">
      <c r="A99" t="s">
        <v>134</v>
      </c>
      <c r="B99" s="1">
        <v>46143.91666666667</v>
      </c>
      <c r="C99" t="s">
        <v>28</v>
      </c>
      <c r="D99" t="s">
        <v>39</v>
      </c>
      <c r="E99" t="s">
        <v>32</v>
      </c>
      <c r="F99" t="s">
        <v>29</v>
      </c>
      <c r="G99" s="1">
        <v>46151.91666666667</v>
      </c>
      <c r="H99" s="1">
        <v>46156.91666666667</v>
      </c>
      <c r="I99">
        <f>H99-G99</f>
      </c>
      <c r="J99">
        <f>IF(I99&lt;=0,"Yes","No")</f>
      </c>
      <c r="K99" t="s">
        <v>66</v>
      </c>
      <c r="L99">
        <v>577</v>
      </c>
      <c r="M99">
        <f>TEXT(B99,"mmm-yy")</f>
      </c>
    </row>
    <row r="100" spans="1:13" x14ac:dyDescent="0.25">
      <c r="A100" t="s">
        <v>135</v>
      </c>
      <c r="B100" s="1">
        <v>46216.91666666667</v>
      </c>
      <c r="C100" t="s">
        <v>14</v>
      </c>
      <c r="D100" t="s">
        <v>15</v>
      </c>
      <c r="E100" t="s">
        <v>24</v>
      </c>
      <c r="F100" t="s">
        <v>36</v>
      </c>
      <c r="G100" s="1">
        <v>46223.91666666667</v>
      </c>
      <c r="H100" s="1">
        <v>46222.91666666667</v>
      </c>
      <c r="I100">
        <f>H100-G100</f>
      </c>
      <c r="J100">
        <f>IF(I100&lt;=0,"Yes","No")</f>
      </c>
      <c r="K100" t="s">
        <v>18</v>
      </c>
      <c r="L100">
        <v>1535</v>
      </c>
      <c r="M100">
        <f>TEXT(B100,"mmm-yy")</f>
      </c>
    </row>
    <row r="101" spans="1:13" x14ac:dyDescent="0.25">
      <c r="A101" t="s">
        <v>136</v>
      </c>
      <c r="B101" s="1">
        <v>46196.91666666667</v>
      </c>
      <c r="C101" t="s">
        <v>20</v>
      </c>
      <c r="D101" t="s">
        <v>41</v>
      </c>
      <c r="E101" t="s">
        <v>22</v>
      </c>
      <c r="F101" t="s">
        <v>17</v>
      </c>
      <c r="G101" s="1">
        <v>46205.91666666667</v>
      </c>
      <c r="H101" s="1">
        <v>46205.91666666667</v>
      </c>
      <c r="I101">
        <f>H101-G101</f>
      </c>
      <c r="J101">
        <f>IF(I101&lt;=0,"Yes","No")</f>
      </c>
      <c r="K101" t="s">
        <v>18</v>
      </c>
      <c r="L101">
        <v>261</v>
      </c>
      <c r="M101">
        <f>TEXT(B101,"mmm-yy")</f>
      </c>
    </row>
    <row r="102" spans="1:13" x14ac:dyDescent="0.25">
      <c r="A102" t="s">
        <v>137</v>
      </c>
      <c r="B102" s="1">
        <v>46173.91666666667</v>
      </c>
      <c r="C102" t="s">
        <v>20</v>
      </c>
      <c r="D102" t="s">
        <v>41</v>
      </c>
      <c r="E102" t="s">
        <v>32</v>
      </c>
      <c r="F102" t="s">
        <v>17</v>
      </c>
      <c r="G102" s="1">
        <v>46179.91666666667</v>
      </c>
      <c r="H102" s="1">
        <v>46179.91666666667</v>
      </c>
      <c r="I102">
        <f>H102-G102</f>
      </c>
      <c r="J102">
        <f>IF(I102&lt;=0,"Yes","No")</f>
      </c>
      <c r="K102" t="s">
        <v>18</v>
      </c>
      <c r="L102">
        <v>706</v>
      </c>
      <c r="M102">
        <f>TEXT(B102,"mmm-yy")</f>
      </c>
    </row>
    <row r="103" spans="1:13" x14ac:dyDescent="0.25">
      <c r="A103" t="s">
        <v>138</v>
      </c>
      <c r="B103" s="1">
        <v>46180.91666666667</v>
      </c>
      <c r="C103" t="s">
        <v>28</v>
      </c>
      <c r="D103" t="s">
        <v>35</v>
      </c>
      <c r="E103" t="s">
        <v>22</v>
      </c>
      <c r="F103" t="s">
        <v>36</v>
      </c>
      <c r="G103" s="1">
        <v>46186.91666666667</v>
      </c>
      <c r="H103" s="1">
        <v>46187.91666666667</v>
      </c>
      <c r="I103">
        <f>H103-G103</f>
      </c>
      <c r="J103">
        <f>IF(I103&lt;=0,"Yes","No")</f>
      </c>
      <c r="K103" t="s">
        <v>26</v>
      </c>
      <c r="L103">
        <v>125</v>
      </c>
      <c r="M103">
        <f>TEXT(B103,"mmm-yy")</f>
      </c>
    </row>
    <row r="104" spans="1:13" x14ac:dyDescent="0.25">
      <c r="A104" t="s">
        <v>139</v>
      </c>
      <c r="B104" s="1">
        <v>46126.91666666667</v>
      </c>
      <c r="C104" t="s">
        <v>14</v>
      </c>
      <c r="D104" t="s">
        <v>39</v>
      </c>
      <c r="E104" t="s">
        <v>22</v>
      </c>
      <c r="F104" t="s">
        <v>29</v>
      </c>
      <c r="G104" s="1">
        <v>46135.91666666667</v>
      </c>
      <c r="H104" s="1">
        <v>46136.91666666667</v>
      </c>
      <c r="I104">
        <f>H104-G104</f>
      </c>
      <c r="J104">
        <f>IF(I104&lt;=0,"Yes","No")</f>
      </c>
      <c r="K104" t="s">
        <v>26</v>
      </c>
      <c r="L104">
        <v>1472</v>
      </c>
      <c r="M104">
        <f>TEXT(B104,"mmm-yy")</f>
      </c>
    </row>
    <row r="105" spans="1:13" x14ac:dyDescent="0.25">
      <c r="A105" t="s">
        <v>140</v>
      </c>
      <c r="B105" s="1">
        <v>46213.91666666667</v>
      </c>
      <c r="C105" t="s">
        <v>20</v>
      </c>
      <c r="D105" t="s">
        <v>15</v>
      </c>
      <c r="E105" t="s">
        <v>16</v>
      </c>
      <c r="F105" t="s">
        <v>25</v>
      </c>
      <c r="G105" s="1">
        <v>46223.91666666667</v>
      </c>
      <c r="H105" s="1">
        <v>46222.91666666667</v>
      </c>
      <c r="I105">
        <f>H105-G105</f>
      </c>
      <c r="J105">
        <f>IF(I105&lt;=0,"Yes","No")</f>
      </c>
      <c r="K105" t="s">
        <v>18</v>
      </c>
      <c r="L105">
        <v>1360</v>
      </c>
      <c r="M105">
        <f>TEXT(B105,"mmm-yy")</f>
      </c>
    </row>
    <row r="106" spans="1:13" x14ac:dyDescent="0.25">
      <c r="A106" t="s">
        <v>141</v>
      </c>
      <c r="B106" s="1">
        <v>46136.91666666667</v>
      </c>
      <c r="C106" t="s">
        <v>28</v>
      </c>
      <c r="D106" t="s">
        <v>53</v>
      </c>
      <c r="E106" t="s">
        <v>24</v>
      </c>
      <c r="F106" t="s">
        <v>17</v>
      </c>
      <c r="G106" s="1">
        <v>46141.91666666667</v>
      </c>
      <c r="H106" s="1">
        <v>46150.91666666667</v>
      </c>
      <c r="I106">
        <f>H106-G106</f>
      </c>
      <c r="J106">
        <f>IF(I106&lt;=0,"Yes","No")</f>
      </c>
      <c r="K106" t="s">
        <v>46</v>
      </c>
      <c r="L106">
        <v>653</v>
      </c>
      <c r="M106">
        <f>TEXT(B106,"mmm-yy")</f>
      </c>
    </row>
    <row r="107" spans="1:13" x14ac:dyDescent="0.25">
      <c r="A107" t="s">
        <v>142</v>
      </c>
      <c r="B107" s="1">
        <v>46211.91666666667</v>
      </c>
      <c r="C107" t="s">
        <v>14</v>
      </c>
      <c r="D107" t="s">
        <v>39</v>
      </c>
      <c r="E107" t="s">
        <v>22</v>
      </c>
      <c r="F107" t="s">
        <v>29</v>
      </c>
      <c r="G107" s="1">
        <v>46220.91666666667</v>
      </c>
      <c r="H107" s="1">
        <v>46220.91666666667</v>
      </c>
      <c r="I107">
        <f>H107-G107</f>
      </c>
      <c r="J107">
        <f>IF(I107&lt;=0,"Yes","No")</f>
      </c>
      <c r="K107" t="s">
        <v>18</v>
      </c>
      <c r="L107">
        <v>904</v>
      </c>
      <c r="M107">
        <f>TEXT(B107,"mmm-yy")</f>
      </c>
    </row>
    <row r="108" spans="1:13" x14ac:dyDescent="0.25">
      <c r="A108" t="s">
        <v>143</v>
      </c>
      <c r="B108" s="1">
        <v>46159.91666666667</v>
      </c>
      <c r="C108" t="s">
        <v>20</v>
      </c>
      <c r="D108" t="s">
        <v>35</v>
      </c>
      <c r="E108" t="s">
        <v>16</v>
      </c>
      <c r="F108" t="s">
        <v>25</v>
      </c>
      <c r="G108" s="1">
        <v>46162.91666666667</v>
      </c>
      <c r="H108" s="1">
        <v>46161.91666666667</v>
      </c>
      <c r="I108">
        <f>H108-G108</f>
      </c>
      <c r="J108">
        <f>IF(I108&lt;=0,"Yes","No")</f>
      </c>
      <c r="K108" t="s">
        <v>18</v>
      </c>
      <c r="L108">
        <v>1557</v>
      </c>
      <c r="M108">
        <f>TEXT(B108,"mmm-yy")</f>
      </c>
    </row>
    <row r="109" spans="1:13" x14ac:dyDescent="0.25">
      <c r="A109" t="s">
        <v>144</v>
      </c>
      <c r="B109" s="1">
        <v>46171.91666666667</v>
      </c>
      <c r="C109" t="s">
        <v>14</v>
      </c>
      <c r="D109" t="s">
        <v>53</v>
      </c>
      <c r="E109" t="s">
        <v>22</v>
      </c>
      <c r="F109" t="s">
        <v>33</v>
      </c>
      <c r="G109" s="1">
        <v>46181.91666666667</v>
      </c>
      <c r="H109" s="1">
        <v>46186.91666666667</v>
      </c>
      <c r="I109">
        <f>H109-G109</f>
      </c>
      <c r="J109">
        <f>IF(I109&lt;=0,"Yes","No")</f>
      </c>
      <c r="K109" t="s">
        <v>56</v>
      </c>
      <c r="L109">
        <v>507</v>
      </c>
      <c r="M109">
        <f>TEXT(B109,"mmm-yy")</f>
      </c>
    </row>
    <row r="110" spans="1:13" x14ac:dyDescent="0.25">
      <c r="A110" t="s">
        <v>145</v>
      </c>
      <c r="B110" s="1">
        <v>46233.91666666667</v>
      </c>
      <c r="C110" t="s">
        <v>14</v>
      </c>
      <c r="D110" t="s">
        <v>53</v>
      </c>
      <c r="E110" t="s">
        <v>16</v>
      </c>
      <c r="F110" t="s">
        <v>29</v>
      </c>
      <c r="G110" s="1">
        <v>46243.91666666667</v>
      </c>
      <c r="H110" s="1">
        <v>46242.91666666667</v>
      </c>
      <c r="I110">
        <f>H110-G110</f>
      </c>
      <c r="J110">
        <f>IF(I110&lt;=0,"Yes","No")</f>
      </c>
      <c r="K110" t="s">
        <v>18</v>
      </c>
      <c r="L110">
        <v>156</v>
      </c>
      <c r="M110">
        <f>TEXT(B110,"mmm-yy")</f>
      </c>
    </row>
    <row r="111" spans="1:13" x14ac:dyDescent="0.25">
      <c r="A111" t="s">
        <v>146</v>
      </c>
      <c r="B111" s="1">
        <v>46120.91666666667</v>
      </c>
      <c r="C111" t="s">
        <v>20</v>
      </c>
      <c r="D111" t="s">
        <v>41</v>
      </c>
      <c r="E111" t="s">
        <v>24</v>
      </c>
      <c r="F111" t="s">
        <v>36</v>
      </c>
      <c r="G111" s="1">
        <v>46125.91666666667</v>
      </c>
      <c r="H111" s="1">
        <v>46125.91666666667</v>
      </c>
      <c r="I111">
        <f>H111-G111</f>
      </c>
      <c r="J111">
        <f>IF(I111&lt;=0,"Yes","No")</f>
      </c>
      <c r="K111" t="s">
        <v>18</v>
      </c>
      <c r="L111">
        <v>207</v>
      </c>
      <c r="M111">
        <f>TEXT(B111,"mmm-yy")</f>
      </c>
    </row>
    <row r="112" spans="1:13" x14ac:dyDescent="0.25">
      <c r="A112" t="s">
        <v>147</v>
      </c>
      <c r="B112" s="1">
        <v>46206.91666666667</v>
      </c>
      <c r="C112" t="s">
        <v>20</v>
      </c>
      <c r="D112" t="s">
        <v>15</v>
      </c>
      <c r="E112" t="s">
        <v>16</v>
      </c>
      <c r="F112" t="s">
        <v>33</v>
      </c>
      <c r="G112" s="1">
        <v>46211.91666666667</v>
      </c>
      <c r="H112" s="1">
        <v>46211.91666666667</v>
      </c>
      <c r="I112">
        <f>H112-G112</f>
      </c>
      <c r="J112">
        <f>IF(I112&lt;=0,"Yes","No")</f>
      </c>
      <c r="K112" t="s">
        <v>18</v>
      </c>
      <c r="L112">
        <v>1100</v>
      </c>
      <c r="M112">
        <f>TEXT(B112,"mmm-yy")</f>
      </c>
    </row>
    <row r="113" spans="1:13" x14ac:dyDescent="0.25">
      <c r="A113" t="s">
        <v>148</v>
      </c>
      <c r="B113" s="1">
        <v>46120.91666666667</v>
      </c>
      <c r="C113" t="s">
        <v>28</v>
      </c>
      <c r="D113" t="s">
        <v>15</v>
      </c>
      <c r="E113" t="s">
        <v>32</v>
      </c>
      <c r="F113" t="s">
        <v>36</v>
      </c>
      <c r="G113" s="1">
        <v>46125.91666666667</v>
      </c>
      <c r="H113" s="1">
        <v>46124.91666666667</v>
      </c>
      <c r="I113">
        <f>H113-G113</f>
      </c>
      <c r="J113">
        <f>IF(I113&lt;=0,"Yes","No")</f>
      </c>
      <c r="K113" t="s">
        <v>18</v>
      </c>
      <c r="L113">
        <v>1517</v>
      </c>
      <c r="M113">
        <f>TEXT(B113,"mmm-yy")</f>
      </c>
    </row>
    <row r="114" spans="1:13" x14ac:dyDescent="0.25">
      <c r="A114" t="s">
        <v>149</v>
      </c>
      <c r="B114" s="1">
        <v>46167.91666666667</v>
      </c>
      <c r="C114" t="s">
        <v>20</v>
      </c>
      <c r="D114" t="s">
        <v>39</v>
      </c>
      <c r="E114" t="s">
        <v>16</v>
      </c>
      <c r="F114" t="s">
        <v>36</v>
      </c>
      <c r="G114" s="1">
        <v>46174.91666666667</v>
      </c>
      <c r="H114" s="1">
        <v>46174.91666666667</v>
      </c>
      <c r="I114">
        <f>H114-G114</f>
      </c>
      <c r="J114">
        <f>IF(I114&lt;=0,"Yes","No")</f>
      </c>
      <c r="K114" t="s">
        <v>18</v>
      </c>
      <c r="L114">
        <v>141</v>
      </c>
      <c r="M114">
        <f>TEXT(B114,"mmm-yy")</f>
      </c>
    </row>
    <row r="115" spans="1:13" x14ac:dyDescent="0.25">
      <c r="A115" t="s">
        <v>150</v>
      </c>
      <c r="B115" s="1">
        <v>46245.91666666667</v>
      </c>
      <c r="C115" t="s">
        <v>14</v>
      </c>
      <c r="D115" t="s">
        <v>21</v>
      </c>
      <c r="E115" t="s">
        <v>16</v>
      </c>
      <c r="F115" t="s">
        <v>36</v>
      </c>
      <c r="G115" s="1">
        <v>46250.91666666667</v>
      </c>
      <c r="H115" s="1">
        <v>46250.91666666667</v>
      </c>
      <c r="I115">
        <f>H115-G115</f>
      </c>
      <c r="J115">
        <f>IF(I115&lt;=0,"Yes","No")</f>
      </c>
      <c r="K115" t="s">
        <v>18</v>
      </c>
      <c r="L115">
        <v>924</v>
      </c>
      <c r="M115">
        <f>TEXT(B115,"mmm-yy")</f>
      </c>
    </row>
    <row r="116" spans="1:13" x14ac:dyDescent="0.25">
      <c r="A116" t="s">
        <v>151</v>
      </c>
      <c r="B116" s="1">
        <v>46117.91666666667</v>
      </c>
      <c r="C116" t="s">
        <v>14</v>
      </c>
      <c r="D116" t="s">
        <v>15</v>
      </c>
      <c r="E116" t="s">
        <v>24</v>
      </c>
      <c r="F116" t="s">
        <v>25</v>
      </c>
      <c r="G116" s="1">
        <v>46126.91666666667</v>
      </c>
      <c r="H116" s="1">
        <v>46131.91666666667</v>
      </c>
      <c r="I116">
        <f>H116-G116</f>
      </c>
      <c r="J116">
        <f>IF(I116&lt;=0,"Yes","No")</f>
      </c>
      <c r="K116" t="s">
        <v>46</v>
      </c>
      <c r="L116">
        <v>1493</v>
      </c>
      <c r="M116">
        <f>TEXT(B116,"mmm-yy")</f>
      </c>
    </row>
    <row r="117" spans="1:13" x14ac:dyDescent="0.25">
      <c r="A117" t="s">
        <v>152</v>
      </c>
      <c r="B117" s="1">
        <v>46147.91666666667</v>
      </c>
      <c r="C117" t="s">
        <v>20</v>
      </c>
      <c r="D117" t="s">
        <v>21</v>
      </c>
      <c r="E117" t="s">
        <v>22</v>
      </c>
      <c r="F117" t="s">
        <v>17</v>
      </c>
      <c r="G117" s="1">
        <v>46156.91666666667</v>
      </c>
      <c r="H117" s="1">
        <v>46155.91666666667</v>
      </c>
      <c r="I117">
        <f>H117-G117</f>
      </c>
      <c r="J117">
        <f>IF(I117&lt;=0,"Yes","No")</f>
      </c>
      <c r="K117" t="s">
        <v>18</v>
      </c>
      <c r="L117">
        <v>1077</v>
      </c>
      <c r="M117">
        <f>TEXT(B117,"mmm-yy")</f>
      </c>
    </row>
    <row r="118" spans="1:13" x14ac:dyDescent="0.25">
      <c r="A118" t="s">
        <v>153</v>
      </c>
      <c r="B118" s="1">
        <v>46238.91666666667</v>
      </c>
      <c r="C118" t="s">
        <v>14</v>
      </c>
      <c r="D118" t="s">
        <v>53</v>
      </c>
      <c r="E118" t="s">
        <v>16</v>
      </c>
      <c r="F118" t="s">
        <v>25</v>
      </c>
      <c r="G118" s="1">
        <v>46247.91666666667</v>
      </c>
      <c r="H118" s="1">
        <v>46253.91666666667</v>
      </c>
      <c r="I118">
        <f>H118-G118</f>
      </c>
      <c r="J118">
        <f>IF(I118&lt;=0,"Yes","No")</f>
      </c>
      <c r="K118" t="s">
        <v>30</v>
      </c>
      <c r="L118">
        <v>210</v>
      </c>
      <c r="M118">
        <f>TEXT(B118,"mmm-yy")</f>
      </c>
    </row>
    <row r="119" spans="1:13" x14ac:dyDescent="0.25">
      <c r="A119" t="s">
        <v>154</v>
      </c>
      <c r="B119" s="1">
        <v>46198.91666666667</v>
      </c>
      <c r="C119" t="s">
        <v>20</v>
      </c>
      <c r="D119" t="s">
        <v>41</v>
      </c>
      <c r="E119" t="s">
        <v>16</v>
      </c>
      <c r="F119" t="s">
        <v>17</v>
      </c>
      <c r="G119" s="1">
        <v>46205.91666666667</v>
      </c>
      <c r="H119" s="1">
        <v>46204.91666666667</v>
      </c>
      <c r="I119">
        <f>H119-G119</f>
      </c>
      <c r="J119">
        <f>IF(I119&lt;=0,"Yes","No")</f>
      </c>
      <c r="K119" t="s">
        <v>18</v>
      </c>
      <c r="L119">
        <v>1765</v>
      </c>
      <c r="M119">
        <f>TEXT(B119,"mmm-yy")</f>
      </c>
    </row>
    <row r="120" spans="1:13" x14ac:dyDescent="0.25">
      <c r="A120" t="s">
        <v>155</v>
      </c>
      <c r="B120" s="1">
        <v>46167.91666666667</v>
      </c>
      <c r="C120" t="s">
        <v>28</v>
      </c>
      <c r="D120" t="s">
        <v>53</v>
      </c>
      <c r="E120" t="s">
        <v>22</v>
      </c>
      <c r="F120" t="s">
        <v>29</v>
      </c>
      <c r="G120" s="1">
        <v>46172.91666666667</v>
      </c>
      <c r="H120" s="1">
        <v>46171.91666666667</v>
      </c>
      <c r="I120">
        <f>H120-G120</f>
      </c>
      <c r="J120">
        <f>IF(I120&lt;=0,"Yes","No")</f>
      </c>
      <c r="K120" t="s">
        <v>18</v>
      </c>
      <c r="L120">
        <v>1528</v>
      </c>
      <c r="M120">
        <f>TEXT(B120,"mmm-yy")</f>
      </c>
    </row>
    <row r="121" spans="1:13" x14ac:dyDescent="0.25">
      <c r="A121" t="s">
        <v>156</v>
      </c>
      <c r="B121" s="1">
        <v>46168.91666666667</v>
      </c>
      <c r="C121" t="s">
        <v>20</v>
      </c>
      <c r="D121" t="s">
        <v>53</v>
      </c>
      <c r="E121" t="s">
        <v>22</v>
      </c>
      <c r="F121" t="s">
        <v>25</v>
      </c>
      <c r="G121" s="1">
        <v>46176.91666666667</v>
      </c>
      <c r="H121" s="1">
        <v>46175.91666666667</v>
      </c>
      <c r="I121">
        <f>H121-G121</f>
      </c>
      <c r="J121">
        <f>IF(I121&lt;=0,"Yes","No")</f>
      </c>
      <c r="K121" t="s">
        <v>18</v>
      </c>
      <c r="L121">
        <v>1693</v>
      </c>
      <c r="M121">
        <f>TEXT(B121,"mmm-yy")</f>
      </c>
    </row>
    <row r="122" spans="1:13" x14ac:dyDescent="0.25">
      <c r="A122" t="s">
        <v>157</v>
      </c>
      <c r="B122" s="1">
        <v>46233.91666666667</v>
      </c>
      <c r="C122" t="s">
        <v>28</v>
      </c>
      <c r="D122" t="s">
        <v>39</v>
      </c>
      <c r="E122" t="s">
        <v>22</v>
      </c>
      <c r="F122" t="s">
        <v>25</v>
      </c>
      <c r="G122" s="1">
        <v>46241.91666666667</v>
      </c>
      <c r="H122" s="1">
        <v>46248.91666666667</v>
      </c>
      <c r="I122">
        <f>H122-G122</f>
      </c>
      <c r="J122">
        <f>IF(I122&lt;=0,"Yes","No")</f>
      </c>
      <c r="K122" t="s">
        <v>56</v>
      </c>
      <c r="L122">
        <v>231</v>
      </c>
      <c r="M122">
        <f>TEXT(B122,"mmm-yy")</f>
      </c>
    </row>
    <row r="123" spans="1:13" x14ac:dyDescent="0.25">
      <c r="A123" t="s">
        <v>158</v>
      </c>
      <c r="B123" s="1">
        <v>46198.91666666667</v>
      </c>
      <c r="C123" t="s">
        <v>20</v>
      </c>
      <c r="D123" t="s">
        <v>53</v>
      </c>
      <c r="E123" t="s">
        <v>16</v>
      </c>
      <c r="F123" t="s">
        <v>36</v>
      </c>
      <c r="G123" s="1">
        <v>46206.91666666667</v>
      </c>
      <c r="H123" s="1">
        <v>46205.91666666667</v>
      </c>
      <c r="I123">
        <f>H123-G123</f>
      </c>
      <c r="J123">
        <f>IF(I123&lt;=0,"Yes","No")</f>
      </c>
      <c r="K123" t="s">
        <v>18</v>
      </c>
      <c r="L123">
        <v>563</v>
      </c>
      <c r="M123">
        <f>TEXT(B123,"mmm-yy")</f>
      </c>
    </row>
    <row r="124" spans="1:13" x14ac:dyDescent="0.25">
      <c r="A124" t="s">
        <v>159</v>
      </c>
      <c r="B124" s="1">
        <v>46227.91666666667</v>
      </c>
      <c r="C124" t="s">
        <v>20</v>
      </c>
      <c r="D124" t="s">
        <v>39</v>
      </c>
      <c r="E124" t="s">
        <v>32</v>
      </c>
      <c r="F124" t="s">
        <v>17</v>
      </c>
      <c r="G124" s="1">
        <v>46235.91666666667</v>
      </c>
      <c r="H124" s="1">
        <v>46234.91666666667</v>
      </c>
      <c r="I124">
        <f>H124-G124</f>
      </c>
      <c r="J124">
        <f>IF(I124&lt;=0,"Yes","No")</f>
      </c>
      <c r="K124" t="s">
        <v>18</v>
      </c>
      <c r="L124">
        <v>1297</v>
      </c>
      <c r="M124">
        <f>TEXT(B124,"mmm-yy")</f>
      </c>
    </row>
    <row r="125" spans="1:13" x14ac:dyDescent="0.25">
      <c r="A125" t="s">
        <v>160</v>
      </c>
      <c r="B125" s="1">
        <v>46185.91666666667</v>
      </c>
      <c r="C125" t="s">
        <v>14</v>
      </c>
      <c r="D125" t="s">
        <v>21</v>
      </c>
      <c r="E125" t="s">
        <v>16</v>
      </c>
      <c r="F125" t="s">
        <v>33</v>
      </c>
      <c r="G125" s="1">
        <v>46191.91666666667</v>
      </c>
      <c r="H125" s="1">
        <v>46197.91666666667</v>
      </c>
      <c r="I125">
        <f>H125-G125</f>
      </c>
      <c r="J125">
        <f>IF(I125&lt;=0,"Yes","No")</f>
      </c>
      <c r="K125" t="s">
        <v>30</v>
      </c>
      <c r="L125">
        <v>1747</v>
      </c>
      <c r="M125">
        <f>TEXT(B125,"mmm-yy")</f>
      </c>
    </row>
    <row r="126" spans="1:13" x14ac:dyDescent="0.25">
      <c r="A126" t="s">
        <v>161</v>
      </c>
      <c r="B126" s="1">
        <v>46141.91666666667</v>
      </c>
      <c r="C126" t="s">
        <v>20</v>
      </c>
      <c r="D126" t="s">
        <v>41</v>
      </c>
      <c r="E126" t="s">
        <v>24</v>
      </c>
      <c r="F126" t="s">
        <v>29</v>
      </c>
      <c r="G126" s="1">
        <v>46149.91666666667</v>
      </c>
      <c r="H126" s="1">
        <v>46156.91666666667</v>
      </c>
      <c r="I126">
        <f>H126-G126</f>
      </c>
      <c r="J126">
        <f>IF(I126&lt;=0,"Yes","No")</f>
      </c>
      <c r="K126" t="s">
        <v>66</v>
      </c>
      <c r="L126">
        <v>395</v>
      </c>
      <c r="M126">
        <f>TEXT(B126,"mmm-yy")</f>
      </c>
    </row>
    <row r="127" spans="1:13" x14ac:dyDescent="0.25">
      <c r="A127" t="s">
        <v>162</v>
      </c>
      <c r="B127" s="1">
        <v>46201.91666666667</v>
      </c>
      <c r="C127" t="s">
        <v>28</v>
      </c>
      <c r="D127" t="s">
        <v>53</v>
      </c>
      <c r="E127" t="s">
        <v>22</v>
      </c>
      <c r="F127" t="s">
        <v>17</v>
      </c>
      <c r="G127" s="1">
        <v>46206.91666666667</v>
      </c>
      <c r="H127" s="1">
        <v>46205.91666666667</v>
      </c>
      <c r="I127">
        <f>H127-G127</f>
      </c>
      <c r="J127">
        <f>IF(I127&lt;=0,"Yes","No")</f>
      </c>
      <c r="K127" t="s">
        <v>18</v>
      </c>
      <c r="L127">
        <v>1206</v>
      </c>
      <c r="M127">
        <f>TEXT(B127,"mmm-yy")</f>
      </c>
    </row>
    <row r="128" spans="1:13" x14ac:dyDescent="0.25">
      <c r="A128" t="s">
        <v>163</v>
      </c>
      <c r="B128" s="1">
        <v>46169.91666666667</v>
      </c>
      <c r="C128" t="s">
        <v>28</v>
      </c>
      <c r="D128" t="s">
        <v>39</v>
      </c>
      <c r="E128" t="s">
        <v>16</v>
      </c>
      <c r="F128" t="s">
        <v>17</v>
      </c>
      <c r="G128" s="1">
        <v>46176.91666666667</v>
      </c>
      <c r="H128" s="1">
        <v>46175.91666666667</v>
      </c>
      <c r="I128">
        <f>H128-G128</f>
      </c>
      <c r="J128">
        <f>IF(I128&lt;=0,"Yes","No")</f>
      </c>
      <c r="K128" t="s">
        <v>18</v>
      </c>
      <c r="L128">
        <v>1542</v>
      </c>
      <c r="M128">
        <f>TEXT(B128,"mmm-yy")</f>
      </c>
    </row>
    <row r="129" spans="1:13" x14ac:dyDescent="0.25">
      <c r="A129" t="s">
        <v>164</v>
      </c>
      <c r="B129" s="1">
        <v>46135.91666666667</v>
      </c>
      <c r="C129" t="s">
        <v>28</v>
      </c>
      <c r="D129" t="s">
        <v>21</v>
      </c>
      <c r="E129" t="s">
        <v>22</v>
      </c>
      <c r="F129" t="s">
        <v>36</v>
      </c>
      <c r="G129" s="1">
        <v>46145.91666666667</v>
      </c>
      <c r="H129" s="1">
        <v>46144.91666666667</v>
      </c>
      <c r="I129">
        <f>H129-G129</f>
      </c>
      <c r="J129">
        <f>IF(I129&lt;=0,"Yes","No")</f>
      </c>
      <c r="K129" t="s">
        <v>18</v>
      </c>
      <c r="L129">
        <v>85</v>
      </c>
      <c r="M129">
        <f>TEXT(B129,"mmm-yy")</f>
      </c>
    </row>
    <row r="130" spans="1:13" x14ac:dyDescent="0.25">
      <c r="A130" t="s">
        <v>165</v>
      </c>
      <c r="B130" s="1">
        <v>46131.91666666667</v>
      </c>
      <c r="C130" t="s">
        <v>14</v>
      </c>
      <c r="D130" t="s">
        <v>39</v>
      </c>
      <c r="E130" t="s">
        <v>22</v>
      </c>
      <c r="F130" t="s">
        <v>25</v>
      </c>
      <c r="G130" s="1">
        <v>46141.91666666667</v>
      </c>
      <c r="H130" s="1">
        <v>46148.91666666667</v>
      </c>
      <c r="I130">
        <f>H130-G130</f>
      </c>
      <c r="J130">
        <f>IF(I130&lt;=0,"Yes","No")</f>
      </c>
      <c r="K130" t="s">
        <v>26</v>
      </c>
      <c r="L130">
        <v>1098</v>
      </c>
      <c r="M130">
        <f>TEXT(B130,"mmm-yy")</f>
      </c>
    </row>
    <row r="131" spans="1:13" x14ac:dyDescent="0.25">
      <c r="A131" t="s">
        <v>166</v>
      </c>
      <c r="B131" s="1">
        <v>46184.91666666667</v>
      </c>
      <c r="C131" t="s">
        <v>14</v>
      </c>
      <c r="D131" t="s">
        <v>39</v>
      </c>
      <c r="E131" t="s">
        <v>22</v>
      </c>
      <c r="F131" t="s">
        <v>29</v>
      </c>
      <c r="G131" s="1">
        <v>46192.91666666667</v>
      </c>
      <c r="H131" s="1">
        <v>46192.91666666667</v>
      </c>
      <c r="I131">
        <f>H131-G131</f>
      </c>
      <c r="J131">
        <f>IF(I131&lt;=0,"Yes","No")</f>
      </c>
      <c r="K131" t="s">
        <v>18</v>
      </c>
      <c r="L131">
        <v>1417</v>
      </c>
      <c r="M131">
        <f>TEXT(B131,"mmm-yy")</f>
      </c>
    </row>
    <row r="132" spans="1:13" x14ac:dyDescent="0.25">
      <c r="A132" t="s">
        <v>167</v>
      </c>
      <c r="B132" s="1">
        <v>46133.91666666667</v>
      </c>
      <c r="C132" t="s">
        <v>14</v>
      </c>
      <c r="D132" t="s">
        <v>53</v>
      </c>
      <c r="E132" t="s">
        <v>32</v>
      </c>
      <c r="F132" t="s">
        <v>36</v>
      </c>
      <c r="G132" s="1">
        <v>46140.91666666667</v>
      </c>
      <c r="H132" s="1">
        <v>46139.91666666667</v>
      </c>
      <c r="I132">
        <f>H132-G132</f>
      </c>
      <c r="J132">
        <f>IF(I132&lt;=0,"Yes","No")</f>
      </c>
      <c r="K132" t="s">
        <v>18</v>
      </c>
      <c r="L132">
        <v>1700</v>
      </c>
      <c r="M132">
        <f>TEXT(B132,"mmm-yy")</f>
      </c>
    </row>
    <row r="133" spans="1:13" x14ac:dyDescent="0.25">
      <c r="A133" t="s">
        <v>168</v>
      </c>
      <c r="B133" s="1">
        <v>46114.91666666667</v>
      </c>
      <c r="C133" t="s">
        <v>20</v>
      </c>
      <c r="D133" t="s">
        <v>39</v>
      </c>
      <c r="E133" t="s">
        <v>16</v>
      </c>
      <c r="F133" t="s">
        <v>25</v>
      </c>
      <c r="G133" s="1">
        <v>46124.91666666667</v>
      </c>
      <c r="H133" s="1">
        <v>46123.91666666667</v>
      </c>
      <c r="I133">
        <f>H133-G133</f>
      </c>
      <c r="J133">
        <f>IF(I133&lt;=0,"Yes","No")</f>
      </c>
      <c r="K133" t="s">
        <v>18</v>
      </c>
      <c r="L133">
        <v>630</v>
      </c>
      <c r="M133">
        <f>TEXT(B133,"mmm-yy")</f>
      </c>
    </row>
    <row r="134" spans="1:13" x14ac:dyDescent="0.25">
      <c r="A134" t="s">
        <v>169</v>
      </c>
      <c r="B134" s="1">
        <v>46159.91666666667</v>
      </c>
      <c r="C134" t="s">
        <v>14</v>
      </c>
      <c r="D134" t="s">
        <v>21</v>
      </c>
      <c r="E134" t="s">
        <v>32</v>
      </c>
      <c r="F134" t="s">
        <v>29</v>
      </c>
      <c r="G134" s="1">
        <v>46169.91666666667</v>
      </c>
      <c r="H134" s="1">
        <v>46175.91666666667</v>
      </c>
      <c r="I134">
        <f>H134-G134</f>
      </c>
      <c r="J134">
        <f>IF(I134&lt;=0,"Yes","No")</f>
      </c>
      <c r="K134" t="s">
        <v>46</v>
      </c>
      <c r="L134">
        <v>765</v>
      </c>
      <c r="M134">
        <f>TEXT(B134,"mmm-yy")</f>
      </c>
    </row>
    <row r="135" spans="1:13" x14ac:dyDescent="0.25">
      <c r="A135" t="s">
        <v>170</v>
      </c>
      <c r="B135" s="1">
        <v>46115.91666666667</v>
      </c>
      <c r="C135" t="s">
        <v>20</v>
      </c>
      <c r="D135" t="s">
        <v>53</v>
      </c>
      <c r="E135" t="s">
        <v>16</v>
      </c>
      <c r="F135" t="s">
        <v>36</v>
      </c>
      <c r="G135" s="1">
        <v>46122.91666666667</v>
      </c>
      <c r="H135" s="1">
        <v>46122.91666666667</v>
      </c>
      <c r="I135">
        <f>H135-G135</f>
      </c>
      <c r="J135">
        <f>IF(I135&lt;=0,"Yes","No")</f>
      </c>
      <c r="K135" t="s">
        <v>18</v>
      </c>
      <c r="L135">
        <v>836</v>
      </c>
      <c r="M135">
        <f>TEXT(B135,"mmm-yy")</f>
      </c>
    </row>
    <row r="136" spans="1:13" x14ac:dyDescent="0.25">
      <c r="A136" t="s">
        <v>171</v>
      </c>
      <c r="B136" s="1">
        <v>46154.91666666667</v>
      </c>
      <c r="C136" t="s">
        <v>14</v>
      </c>
      <c r="D136" t="s">
        <v>53</v>
      </c>
      <c r="E136" t="s">
        <v>16</v>
      </c>
      <c r="F136" t="s">
        <v>29</v>
      </c>
      <c r="G136" s="1">
        <v>46161.91666666667</v>
      </c>
      <c r="H136" s="1">
        <v>46160.91666666667</v>
      </c>
      <c r="I136">
        <f>H136-G136</f>
      </c>
      <c r="J136">
        <f>IF(I136&lt;=0,"Yes","No")</f>
      </c>
      <c r="K136" t="s">
        <v>18</v>
      </c>
      <c r="L136">
        <v>1310</v>
      </c>
      <c r="M136">
        <f>TEXT(B136,"mmm-yy")</f>
      </c>
    </row>
    <row r="137" spans="1:13" x14ac:dyDescent="0.25">
      <c r="A137" t="s">
        <v>172</v>
      </c>
      <c r="B137" s="1">
        <v>46122.91666666667</v>
      </c>
      <c r="C137" t="s">
        <v>20</v>
      </c>
      <c r="D137" t="s">
        <v>21</v>
      </c>
      <c r="E137" t="s">
        <v>16</v>
      </c>
      <c r="F137" t="s">
        <v>17</v>
      </c>
      <c r="G137" s="1">
        <v>46127.91666666667</v>
      </c>
      <c r="H137" s="1">
        <v>46126.91666666667</v>
      </c>
      <c r="I137">
        <f>H137-G137</f>
      </c>
      <c r="J137">
        <f>IF(I137&lt;=0,"Yes","No")</f>
      </c>
      <c r="K137" t="s">
        <v>18</v>
      </c>
      <c r="L137">
        <v>870</v>
      </c>
      <c r="M137">
        <f>TEXT(B137,"mmm-yy")</f>
      </c>
    </row>
    <row r="138" spans="1:13" x14ac:dyDescent="0.25">
      <c r="A138" t="s">
        <v>173</v>
      </c>
      <c r="B138" s="1">
        <v>46189.91666666667</v>
      </c>
      <c r="C138" t="s">
        <v>14</v>
      </c>
      <c r="D138" t="s">
        <v>41</v>
      </c>
      <c r="E138" t="s">
        <v>22</v>
      </c>
      <c r="F138" t="s">
        <v>25</v>
      </c>
      <c r="G138" s="1">
        <v>46192.91666666667</v>
      </c>
      <c r="H138" s="1">
        <v>46191.91666666667</v>
      </c>
      <c r="I138">
        <f>H138-G138</f>
      </c>
      <c r="J138">
        <f>IF(I138&lt;=0,"Yes","No")</f>
      </c>
      <c r="K138" t="s">
        <v>18</v>
      </c>
      <c r="L138">
        <v>1710</v>
      </c>
      <c r="M138">
        <f>TEXT(B138,"mmm-yy")</f>
      </c>
    </row>
    <row r="139" spans="1:13" x14ac:dyDescent="0.25">
      <c r="A139" t="s">
        <v>174</v>
      </c>
      <c r="B139" s="1">
        <v>46119.91666666667</v>
      </c>
      <c r="C139" t="s">
        <v>14</v>
      </c>
      <c r="D139" t="s">
        <v>41</v>
      </c>
      <c r="E139" t="s">
        <v>32</v>
      </c>
      <c r="F139" t="s">
        <v>25</v>
      </c>
      <c r="G139" s="1">
        <v>46129.91666666667</v>
      </c>
      <c r="H139" s="1">
        <v>46137.91666666667</v>
      </c>
      <c r="I139">
        <f>H139-G139</f>
      </c>
      <c r="J139">
        <f>IF(I139&lt;=0,"Yes","No")</f>
      </c>
      <c r="K139" t="s">
        <v>30</v>
      </c>
      <c r="L139">
        <v>1377</v>
      </c>
      <c r="M139">
        <f>TEXT(B139,"mmm-yy")</f>
      </c>
    </row>
    <row r="140" spans="1:13" x14ac:dyDescent="0.25">
      <c r="A140" t="s">
        <v>175</v>
      </c>
      <c r="B140" s="1">
        <v>46162.91666666667</v>
      </c>
      <c r="C140" t="s">
        <v>20</v>
      </c>
      <c r="D140" t="s">
        <v>39</v>
      </c>
      <c r="E140" t="s">
        <v>32</v>
      </c>
      <c r="F140" t="s">
        <v>17</v>
      </c>
      <c r="G140" s="1">
        <v>46168.91666666667</v>
      </c>
      <c r="H140" s="1">
        <v>46167.91666666667</v>
      </c>
      <c r="I140">
        <f>H140-G140</f>
      </c>
      <c r="J140">
        <f>IF(I140&lt;=0,"Yes","No")</f>
      </c>
      <c r="K140" t="s">
        <v>18</v>
      </c>
      <c r="L140">
        <v>1700</v>
      </c>
      <c r="M140">
        <f>TEXT(B140,"mmm-yy")</f>
      </c>
    </row>
    <row r="141" spans="1:13" x14ac:dyDescent="0.25">
      <c r="A141" t="s">
        <v>176</v>
      </c>
      <c r="B141" s="1">
        <v>46183.91666666667</v>
      </c>
      <c r="C141" t="s">
        <v>20</v>
      </c>
      <c r="D141" t="s">
        <v>35</v>
      </c>
      <c r="E141" t="s">
        <v>16</v>
      </c>
      <c r="F141" t="s">
        <v>29</v>
      </c>
      <c r="G141" s="1">
        <v>46191.91666666667</v>
      </c>
      <c r="H141" s="1">
        <v>46191.91666666667</v>
      </c>
      <c r="I141">
        <f>H141-G141</f>
      </c>
      <c r="J141">
        <f>IF(I141&lt;=0,"Yes","No")</f>
      </c>
      <c r="K141" t="s">
        <v>18</v>
      </c>
      <c r="L141">
        <v>1549</v>
      </c>
      <c r="M141">
        <f>TEXT(B141,"mmm-yy")</f>
      </c>
    </row>
  </sheetData>
  <autoFilter ref="A1:M14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30" customWidth="1"/>
    <col min="2" max="5" width="18" customWidth="1"/>
  </cols>
  <sheetData>
    <row r="1" spans="1:1" x14ac:dyDescent="0.25">
      <c r="A1" s="5" t="s">
        <v>177</v>
      </c>
    </row>
    <row r="2" spans="1:1" x14ac:dyDescent="0.25">
      <c r="A2" s="6" t="s">
        <v>178</v>
      </c>
    </row>
    <row r="4" spans="1:4" x14ac:dyDescent="0.25">
      <c r="A4" s="7" t="s">
        <v>179</v>
      </c>
      <c r="B4" s="7" t="s">
        <v>180</v>
      </c>
      <c r="C4" s="7" t="s">
        <v>181</v>
      </c>
      <c r="D4" s="7" t="s">
        <v>182</v>
      </c>
    </row>
    <row r="5" spans="1:4" x14ac:dyDescent="0.25">
      <c r="A5" s="8">
        <f>COUNTA('Raw Data'!A2:A141)</f>
      </c>
      <c r="B5" s="9">
        <f>COUNTIF('Raw Data'!J2:J141,"Yes")/COUNTA('Raw Data'!J2:J141)</f>
      </c>
      <c r="C5" s="10">
        <f>AVERAGEIF('Raw Data'!I2:I141,"&gt;0")</f>
      </c>
      <c r="D5" s="8">
        <f>SUM('Raw Data'!L2:L141)</f>
      </c>
    </row>
    <row r="8" spans="1:1" x14ac:dyDescent="0.25">
      <c r="A8" s="5" t="s">
        <v>183</v>
      </c>
    </row>
    <row r="9" spans="1:3" x14ac:dyDescent="0.25">
      <c r="A9" s="11" t="s">
        <v>184</v>
      </c>
      <c r="B9" s="11" t="s">
        <v>185</v>
      </c>
      <c r="C9" s="11" t="s">
        <v>186</v>
      </c>
    </row>
    <row r="10" spans="1:3" x14ac:dyDescent="0.25">
      <c r="A10" t="s">
        <v>66</v>
      </c>
      <c r="B10">
        <f>COUNTIF('Raw Data'!K2:K141,"Carrier delay")</f>
      </c>
      <c r="C10" s="12">
        <f>B10/COUNTIF('Raw Data'!J2:J141,"No")</f>
      </c>
    </row>
    <row r="11" spans="1:3" x14ac:dyDescent="0.25">
      <c r="A11" t="s">
        <v>26</v>
      </c>
      <c r="B11">
        <f>COUNTIF('Raw Data'!K2:K141,"Customs hold")</f>
      </c>
      <c r="C11" s="12">
        <f>B11/COUNTIF('Raw Data'!J2:J141,"No")</f>
      </c>
    </row>
    <row r="12" spans="1:3" x14ac:dyDescent="0.25">
      <c r="A12" t="s">
        <v>30</v>
      </c>
      <c r="B12">
        <f>COUNTIF('Raw Data'!K2:K141,"Stock shortage")</f>
      </c>
      <c r="C12" s="12">
        <f>B12/COUNTIF('Raw Data'!J2:J141,"No")</f>
      </c>
    </row>
    <row r="13" spans="1:3" x14ac:dyDescent="0.25">
      <c r="A13" t="s">
        <v>46</v>
      </c>
      <c r="B13">
        <f>COUNTIF('Raw Data'!K2:K141,"Documentation error")</f>
      </c>
      <c r="C13" s="12">
        <f>B13/COUNTIF('Raw Data'!J2:J141,"No")</f>
      </c>
    </row>
    <row r="14" spans="1:3" x14ac:dyDescent="0.25">
      <c r="A14" t="s">
        <v>56</v>
      </c>
      <c r="B14">
        <f>COUNTIF('Raw Data'!K2:K141,"Weather")</f>
      </c>
      <c r="C14" s="12">
        <f>B14/COUNTIF('Raw Data'!J2:J141,"No")</f>
      </c>
    </row>
    <row r="17" spans="1:1" x14ac:dyDescent="0.25">
      <c r="A17" s="5" t="s">
        <v>187</v>
      </c>
    </row>
    <row r="18" spans="1:4" x14ac:dyDescent="0.25">
      <c r="A18" s="11" t="s">
        <v>5</v>
      </c>
      <c r="B18" s="11" t="s">
        <v>188</v>
      </c>
      <c r="C18" s="11" t="s">
        <v>189</v>
      </c>
      <c r="D18" s="11" t="s">
        <v>190</v>
      </c>
    </row>
    <row r="19" spans="1:4" x14ac:dyDescent="0.25">
      <c r="A19" t="s">
        <v>17</v>
      </c>
      <c r="B19">
        <f>COUNTIF('Raw Data'!F2:F141,"PostNL")</f>
      </c>
      <c r="C19" s="12">
        <f>COUNTIFS('Raw Data'!F2:F141,"PostNL",'Raw Data'!J2:J141,"Yes")/B19</f>
      </c>
      <c r="D19" s="13">
        <f>AVERAGEIFS('Raw Data'!I2:I141,'Raw Data'!F2:F141,"PostNL",'Raw Data'!I2:I141,"&gt;0")</f>
      </c>
    </row>
    <row r="20" spans="1:4" x14ac:dyDescent="0.25">
      <c r="A20" t="s">
        <v>29</v>
      </c>
      <c r="B20">
        <f>COUNTIF('Raw Data'!F2:F141,"DHL")</f>
      </c>
      <c r="C20" s="12">
        <f>COUNTIFS('Raw Data'!F2:F141,"DHL",'Raw Data'!J2:J141,"Yes")/B20</f>
      </c>
      <c r="D20" s="13">
        <f>AVERAGEIFS('Raw Data'!I2:I141,'Raw Data'!F2:F141,"DHL",'Raw Data'!I2:I141,"&gt;0")</f>
      </c>
    </row>
    <row r="21" spans="1:4" x14ac:dyDescent="0.25">
      <c r="A21" t="s">
        <v>25</v>
      </c>
      <c r="B21">
        <f>COUNTIF('Raw Data'!F2:F141,"DPD")</f>
      </c>
      <c r="C21" s="12">
        <f>COUNTIFS('Raw Data'!F2:F141,"DPD",'Raw Data'!J2:J141,"Yes")/B21</f>
      </c>
      <c r="D21" s="13">
        <f>AVERAGEIFS('Raw Data'!I2:I141,'Raw Data'!F2:F141,"DPD",'Raw Data'!I2:I141,"&gt;0")</f>
      </c>
    </row>
    <row r="22" spans="1:4" x14ac:dyDescent="0.25">
      <c r="A22" t="s">
        <v>33</v>
      </c>
      <c r="B22">
        <f>COUNTIF('Raw Data'!F2:F141,"GLS")</f>
      </c>
      <c r="C22" s="12">
        <f>COUNTIFS('Raw Data'!F2:F141,"GLS",'Raw Data'!J2:J141,"Yes")/B22</f>
      </c>
      <c r="D22" s="13">
        <f>AVERAGEIFS('Raw Data'!I2:I141,'Raw Data'!F2:F141,"GLS",'Raw Data'!I2:I141,"&gt;0")</f>
      </c>
    </row>
    <row r="23" spans="1:4" x14ac:dyDescent="0.25">
      <c r="A23" t="s">
        <v>36</v>
      </c>
      <c r="B23">
        <f>COUNTIF('Raw Data'!F2:F141,"UPS")</f>
      </c>
      <c r="C23" s="12">
        <f>COUNTIFS('Raw Data'!F2:F141,"UPS",'Raw Data'!J2:J141,"Yes")/B23</f>
      </c>
      <c r="D23" s="13">
        <f>AVERAGEIFS('Raw Data'!I2:I141,'Raw Data'!F2:F141,"UPS",'Raw Data'!I2:I141,"&gt;0")</f>
      </c>
    </row>
    <row r="26" spans="1:1" x14ac:dyDescent="0.25">
      <c r="A26" s="5" t="s">
        <v>191</v>
      </c>
    </row>
    <row r="27" spans="1:3" x14ac:dyDescent="0.25">
      <c r="A27" s="11" t="s">
        <v>192</v>
      </c>
      <c r="B27" s="11" t="s">
        <v>188</v>
      </c>
      <c r="C27" s="11" t="s">
        <v>189</v>
      </c>
    </row>
    <row r="28" spans="1:3" x14ac:dyDescent="0.25">
      <c r="A28" t="s">
        <v>193</v>
      </c>
      <c r="B28">
        <f>COUNTIF('Raw Data'!M2:M141,"Apr-26")</f>
      </c>
      <c r="C28" s="12">
        <f>COUNTIFS('Raw Data'!M2:M141,"Apr-26",'Raw Data'!J2:J141,"Yes")/B28</f>
      </c>
    </row>
    <row r="29" spans="1:3" x14ac:dyDescent="0.25">
      <c r="A29" t="s">
        <v>194</v>
      </c>
      <c r="B29">
        <f>COUNTIF('Raw Data'!M2:M141,"May-26")</f>
      </c>
      <c r="C29" s="12">
        <f>COUNTIFS('Raw Data'!M2:M141,"May-26",'Raw Data'!J2:J141,"Yes")/B29</f>
      </c>
    </row>
    <row r="30" spans="1:3" x14ac:dyDescent="0.25">
      <c r="A30" t="s">
        <v>195</v>
      </c>
      <c r="B30">
        <f>COUNTIF('Raw Data'!M2:M141,"Jun-26")</f>
      </c>
      <c r="C30" s="12">
        <f>COUNTIFS('Raw Data'!M2:M141,"Jun-26",'Raw Data'!J2:J141,"Yes")/B30</f>
      </c>
    </row>
    <row r="31" spans="1:3" x14ac:dyDescent="0.25">
      <c r="A31" t="s">
        <v>196</v>
      </c>
      <c r="B31">
        <f>COUNTIF('Raw Data'!M2:M141,"Jul-26")</f>
      </c>
      <c r="C31" s="12">
        <f>COUNTIFS('Raw Data'!M2:M141,"Jul-26",'Raw Data'!J2:J141,"Yes")/B31</f>
      </c>
    </row>
    <row r="32" spans="1:3" x14ac:dyDescent="0.25">
      <c r="A32" t="s">
        <v>197</v>
      </c>
      <c r="B32">
        <f>COUNTIF('Raw Data'!M2:M141,"Aug-26")</f>
      </c>
      <c r="C32" s="12">
        <f>COUNTIFS('Raw Data'!M2:M141,"Aug-26",'Raw Data'!J2:J141,"Yes")/B32</f>
      </c>
    </row>
    <row r="34" spans="1:1" x14ac:dyDescent="0.25">
      <c r="A34" s="5" t="s">
        <v>198</v>
      </c>
    </row>
    <row r="35" spans="1:5" x14ac:dyDescent="0.25">
      <c r="A35" s="14" t="s">
        <v>199</v>
      </c>
      <c r="B35" s="14"/>
      <c r="C35" s="14"/>
      <c r="D35" s="14"/>
      <c r="E35" s="14"/>
    </row>
    <row r="36" spans="1:5" x14ac:dyDescent="0.25">
      <c r="A36" s="14" t="s">
        <v>200</v>
      </c>
      <c r="B36" s="14"/>
      <c r="C36" s="14"/>
      <c r="D36" s="14"/>
      <c r="E36" s="14"/>
    </row>
    <row r="37" spans="1:5" x14ac:dyDescent="0.25">
      <c r="A37" s="14" t="s">
        <v>201</v>
      </c>
      <c r="B37" s="14"/>
      <c r="C37" s="14"/>
      <c r="D37" s="14"/>
      <c r="E37" s="14"/>
    </row>
    <row r="38" spans="1:5" x14ac:dyDescent="0.25">
      <c r="A38" s="14" t="s">
        <v>202</v>
      </c>
      <c r="B38" s="14"/>
      <c r="C38" s="14"/>
      <c r="D38" s="14"/>
      <c r="E38" s="14"/>
    </row>
  </sheetData>
  <mergeCells count="4">
    <mergeCell ref="A35:E35"/>
    <mergeCell ref="A36:E36"/>
    <mergeCell ref="A37:E37"/>
    <mergeCell ref="A38:E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Vanderlinder</dc:creator>
  <dc:title/>
  <dc:subject/>
  <dc:description/>
  <cp:keywords/>
  <cp:category/>
  <cp:lastModifiedBy>Unknown</cp:lastModifiedBy>
  <dcterms:created xsi:type="dcterms:W3CDTF">2026-08-12T22:00:00Z</dcterms:created>
  <dcterms:modified xsi:type="dcterms:W3CDTF">2026-08-13T11:31:35Z</dcterms:modified>
</cp:coreProperties>
</file>